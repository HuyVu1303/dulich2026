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NC\Documents\GitHub\hoi-thao\"/>
    </mc:Choice>
  </mc:AlternateContent>
  <xr:revisionPtr revIDLastSave="0" documentId="8_{83D66873-7B43-4803-A454-6494B6BD0206}" xr6:coauthVersionLast="47" xr6:coauthVersionMax="47" xr10:uidLastSave="{00000000-0000-0000-0000-000000000000}"/>
  <bookViews>
    <workbookView xWindow="-28920" yWindow="1935" windowWidth="29040" windowHeight="15720" tabRatio="500" xr2:uid="{00000000-000D-0000-FFFF-FFFF00000000}"/>
  </bookViews>
  <sheets>
    <sheet name="Timeline (5W1H)" sheetId="1" r:id="rId1"/>
    <sheet name="Lịch thi đấu" sheetId="2" r:id="rId2"/>
    <sheet name="Nhập kết quả" sheetId="3" r:id="rId3"/>
    <sheet name="Tổng kết" sheetId="4" r:id="rId4"/>
    <sheet name="Kịch bản chi tiết" sheetId="5" r:id="rId5"/>
    <sheet name="Kịch bản chi tiết (4 sân)" sheetId="6" r:id="rId6"/>
    <sheet name="VĐTT - Nhập KQ" sheetId="7" r:id="rId7"/>
    <sheet name="Giải phụ - Chấm điểm" sheetId="8" r:id="rId8"/>
    <sheet name="Cầu thủ ghi bàn" sheetId="9" r:id="rId9"/>
    <sheet name="Tổng điểm toàn đoàn" sheetId="10" r:id="rId10"/>
    <sheet name="VĐTT - Last of us" sheetId="11" r:id="rId11"/>
    <sheet name="Hạng mục giải" sheetId="12" r:id="rId1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" i="12" l="1"/>
  <c r="F24" i="11"/>
  <c r="E24" i="11"/>
  <c r="B24" i="11"/>
  <c r="F23" i="11"/>
  <c r="E23" i="11"/>
  <c r="B23" i="11"/>
  <c r="F22" i="11"/>
  <c r="E22" i="11"/>
  <c r="B22" i="11"/>
  <c r="F21" i="11"/>
  <c r="E21" i="11"/>
  <c r="B21" i="11"/>
  <c r="F20" i="11"/>
  <c r="E20" i="11"/>
  <c r="B20" i="11"/>
  <c r="F19" i="11"/>
  <c r="E19" i="11"/>
  <c r="B19" i="11"/>
  <c r="F18" i="11"/>
  <c r="E18" i="11"/>
  <c r="B18" i="11"/>
  <c r="F17" i="11"/>
  <c r="E17" i="11"/>
  <c r="B17" i="11"/>
  <c r="F16" i="11"/>
  <c r="E16" i="11"/>
  <c r="B16" i="11"/>
  <c r="F15" i="11"/>
  <c r="E15" i="11"/>
  <c r="B15" i="11"/>
  <c r="F14" i="11"/>
  <c r="E14" i="11"/>
  <c r="B14" i="11"/>
  <c r="F13" i="11"/>
  <c r="E13" i="11"/>
  <c r="B13" i="11"/>
  <c r="F12" i="11"/>
  <c r="E12" i="11"/>
  <c r="B12" i="11"/>
  <c r="F11" i="11"/>
  <c r="E11" i="11"/>
  <c r="B11" i="11"/>
  <c r="F10" i="11"/>
  <c r="E10" i="11"/>
  <c r="B10" i="11"/>
  <c r="F9" i="11"/>
  <c r="E9" i="11"/>
  <c r="B9" i="11"/>
  <c r="F8" i="11"/>
  <c r="E8" i="11"/>
  <c r="B8" i="11"/>
  <c r="F7" i="11"/>
  <c r="E7" i="11"/>
  <c r="B7" i="11"/>
  <c r="B16" i="10"/>
  <c r="B15" i="10"/>
  <c r="B14" i="10"/>
  <c r="E13" i="10"/>
  <c r="B13" i="10"/>
  <c r="B12" i="10"/>
  <c r="B11" i="10"/>
  <c r="B10" i="10"/>
  <c r="B9" i="10"/>
  <c r="B8" i="10"/>
  <c r="B7" i="10"/>
  <c r="B6" i="10"/>
  <c r="B5" i="10"/>
  <c r="G40" i="9"/>
  <c r="G36" i="9"/>
  <c r="H36" i="9" s="1"/>
  <c r="G30" i="9"/>
  <c r="G16" i="9"/>
  <c r="G12" i="9"/>
  <c r="G6" i="9"/>
  <c r="H6" i="9" s="1"/>
  <c r="F182" i="8"/>
  <c r="A182" i="8"/>
  <c r="F181" i="8"/>
  <c r="A181" i="8"/>
  <c r="F180" i="8"/>
  <c r="A180" i="8"/>
  <c r="F179" i="8"/>
  <c r="G179" i="8" s="1"/>
  <c r="A179" i="8"/>
  <c r="F178" i="8"/>
  <c r="A178" i="8"/>
  <c r="F177" i="8"/>
  <c r="A177" i="8"/>
  <c r="F176" i="8"/>
  <c r="A176" i="8"/>
  <c r="F175" i="8"/>
  <c r="A175" i="8"/>
  <c r="F174" i="8"/>
  <c r="G174" i="8" s="1"/>
  <c r="A174" i="8"/>
  <c r="F173" i="8"/>
  <c r="A173" i="8"/>
  <c r="F172" i="8"/>
  <c r="A172" i="8"/>
  <c r="F171" i="8"/>
  <c r="A171" i="8"/>
  <c r="F167" i="8"/>
  <c r="E167" i="8"/>
  <c r="A167" i="8"/>
  <c r="E166" i="8"/>
  <c r="A166" i="8"/>
  <c r="E165" i="8"/>
  <c r="A165" i="8"/>
  <c r="E164" i="8"/>
  <c r="G155" i="8" s="1"/>
  <c r="A164" i="8"/>
  <c r="F163" i="8"/>
  <c r="E163" i="8"/>
  <c r="A163" i="8"/>
  <c r="E162" i="8"/>
  <c r="F162" i="8" s="1"/>
  <c r="A162" i="8"/>
  <c r="E161" i="8"/>
  <c r="A161" i="8"/>
  <c r="E160" i="8"/>
  <c r="F160" i="8" s="1"/>
  <c r="A160" i="8"/>
  <c r="F159" i="8"/>
  <c r="E159" i="8"/>
  <c r="A159" i="8"/>
  <c r="E158" i="8"/>
  <c r="F158" i="8" s="1"/>
  <c r="A158" i="8"/>
  <c r="E157" i="8"/>
  <c r="A157" i="8"/>
  <c r="E156" i="8"/>
  <c r="A156" i="8"/>
  <c r="E152" i="8"/>
  <c r="A152" i="8"/>
  <c r="E151" i="8"/>
  <c r="A151" i="8"/>
  <c r="E150" i="8"/>
  <c r="A150" i="8"/>
  <c r="F149" i="8"/>
  <c r="E149" i="8"/>
  <c r="A149" i="8"/>
  <c r="E148" i="8"/>
  <c r="A148" i="8"/>
  <c r="E147" i="8"/>
  <c r="A147" i="8"/>
  <c r="E146" i="8"/>
  <c r="A146" i="8"/>
  <c r="E145" i="8"/>
  <c r="A145" i="8"/>
  <c r="E144" i="8"/>
  <c r="A144" i="8"/>
  <c r="E143" i="8"/>
  <c r="A143" i="8"/>
  <c r="E142" i="8"/>
  <c r="A142" i="8"/>
  <c r="E141" i="8"/>
  <c r="A141" i="8"/>
  <c r="E137" i="8"/>
  <c r="A137" i="8"/>
  <c r="E136" i="8"/>
  <c r="A136" i="8"/>
  <c r="E135" i="8"/>
  <c r="A135" i="8"/>
  <c r="E134" i="8"/>
  <c r="A134" i="8"/>
  <c r="E133" i="8"/>
  <c r="A133" i="8"/>
  <c r="E132" i="8"/>
  <c r="A132" i="8"/>
  <c r="E131" i="8"/>
  <c r="F131" i="8" s="1"/>
  <c r="A131" i="8"/>
  <c r="E130" i="8"/>
  <c r="A130" i="8"/>
  <c r="E129" i="8"/>
  <c r="A129" i="8"/>
  <c r="E128" i="8"/>
  <c r="A128" i="8"/>
  <c r="E127" i="8"/>
  <c r="A127" i="8"/>
  <c r="E126" i="8"/>
  <c r="A126" i="8"/>
  <c r="E122" i="8"/>
  <c r="A122" i="8"/>
  <c r="E121" i="8"/>
  <c r="A121" i="8"/>
  <c r="E120" i="8"/>
  <c r="F120" i="8" s="1"/>
  <c r="A120" i="8"/>
  <c r="E119" i="8"/>
  <c r="F119" i="8" s="1"/>
  <c r="A119" i="8"/>
  <c r="E118" i="8"/>
  <c r="F118" i="8" s="1"/>
  <c r="A118" i="8"/>
  <c r="E117" i="8"/>
  <c r="A117" i="8"/>
  <c r="E116" i="8"/>
  <c r="F116" i="8" s="1"/>
  <c r="A116" i="8"/>
  <c r="E115" i="8"/>
  <c r="F115" i="8" s="1"/>
  <c r="A115" i="8"/>
  <c r="E114" i="8"/>
  <c r="F114" i="8" s="1"/>
  <c r="A114" i="8"/>
  <c r="F113" i="8"/>
  <c r="E113" i="8"/>
  <c r="A113" i="8"/>
  <c r="E112" i="8"/>
  <c r="F117" i="8" s="1"/>
  <c r="A112" i="8"/>
  <c r="E111" i="8"/>
  <c r="A111" i="8"/>
  <c r="E107" i="8"/>
  <c r="A107" i="8"/>
  <c r="E106" i="8"/>
  <c r="F106" i="8" s="1"/>
  <c r="A106" i="8"/>
  <c r="E105" i="8"/>
  <c r="A105" i="8"/>
  <c r="E104" i="8"/>
  <c r="A104" i="8"/>
  <c r="E103" i="8"/>
  <c r="A103" i="8"/>
  <c r="E102" i="8"/>
  <c r="A102" i="8"/>
  <c r="E101" i="8"/>
  <c r="F100" i="8" s="1"/>
  <c r="A101" i="8"/>
  <c r="E100" i="8"/>
  <c r="A100" i="8"/>
  <c r="E99" i="8"/>
  <c r="A99" i="8"/>
  <c r="E98" i="8"/>
  <c r="A98" i="8"/>
  <c r="E97" i="8"/>
  <c r="A97" i="8"/>
  <c r="E96" i="8"/>
  <c r="A96" i="8"/>
  <c r="E92" i="8"/>
  <c r="A92" i="8"/>
  <c r="E91" i="8"/>
  <c r="A91" i="8"/>
  <c r="E90" i="8"/>
  <c r="F90" i="8" s="1"/>
  <c r="A90" i="8"/>
  <c r="E89" i="8"/>
  <c r="A89" i="8"/>
  <c r="E88" i="8"/>
  <c r="F88" i="8" s="1"/>
  <c r="A88" i="8"/>
  <c r="E87" i="8"/>
  <c r="A87" i="8"/>
  <c r="E86" i="8"/>
  <c r="F86" i="8" s="1"/>
  <c r="A86" i="8"/>
  <c r="E85" i="8"/>
  <c r="A85" i="8"/>
  <c r="E84" i="8"/>
  <c r="A84" i="8"/>
  <c r="E83" i="8"/>
  <c r="A83" i="8"/>
  <c r="F82" i="8"/>
  <c r="E82" i="8"/>
  <c r="G80" i="8" s="1"/>
  <c r="A82" i="8"/>
  <c r="E81" i="8"/>
  <c r="A81" i="8"/>
  <c r="E77" i="8"/>
  <c r="A77" i="8"/>
  <c r="E76" i="8"/>
  <c r="A76" i="8"/>
  <c r="E75" i="8"/>
  <c r="A75" i="8"/>
  <c r="F74" i="8"/>
  <c r="E74" i="8"/>
  <c r="A74" i="8"/>
  <c r="E73" i="8"/>
  <c r="A73" i="8"/>
  <c r="E72" i="8"/>
  <c r="A72" i="8"/>
  <c r="E71" i="8"/>
  <c r="A71" i="8"/>
  <c r="E70" i="8"/>
  <c r="F70" i="8" s="1"/>
  <c r="A70" i="8"/>
  <c r="E69" i="8"/>
  <c r="A69" i="8"/>
  <c r="E68" i="8"/>
  <c r="A68" i="8"/>
  <c r="E67" i="8"/>
  <c r="A67" i="8"/>
  <c r="E66" i="8"/>
  <c r="A66" i="8"/>
  <c r="E62" i="8"/>
  <c r="A62" i="8"/>
  <c r="E61" i="8"/>
  <c r="A61" i="8"/>
  <c r="E60" i="8"/>
  <c r="A60" i="8"/>
  <c r="E59" i="8"/>
  <c r="A59" i="8"/>
  <c r="E58" i="8"/>
  <c r="A58" i="8"/>
  <c r="E57" i="8"/>
  <c r="A57" i="8"/>
  <c r="E56" i="8"/>
  <c r="A56" i="8"/>
  <c r="E55" i="8"/>
  <c r="F55" i="8" s="1"/>
  <c r="A55" i="8"/>
  <c r="E54" i="8"/>
  <c r="F54" i="8" s="1"/>
  <c r="A54" i="8"/>
  <c r="E53" i="8"/>
  <c r="F53" i="8" s="1"/>
  <c r="A53" i="8"/>
  <c r="F52" i="8"/>
  <c r="E52" i="8"/>
  <c r="A52" i="8"/>
  <c r="E51" i="8"/>
  <c r="A51" i="8"/>
  <c r="E47" i="8"/>
  <c r="A47" i="8"/>
  <c r="E46" i="8"/>
  <c r="A46" i="8"/>
  <c r="E45" i="8"/>
  <c r="A45" i="8"/>
  <c r="E44" i="8"/>
  <c r="F44" i="8" s="1"/>
  <c r="A44" i="8"/>
  <c r="E43" i="8"/>
  <c r="A43" i="8"/>
  <c r="E42" i="8"/>
  <c r="A42" i="8"/>
  <c r="E41" i="8"/>
  <c r="A41" i="8"/>
  <c r="E40" i="8"/>
  <c r="A40" i="8"/>
  <c r="E39" i="8"/>
  <c r="A39" i="8"/>
  <c r="E38" i="8"/>
  <c r="A38" i="8"/>
  <c r="E37" i="8"/>
  <c r="A37" i="8"/>
  <c r="E36" i="8"/>
  <c r="A36" i="8"/>
  <c r="G35" i="8"/>
  <c r="F32" i="8"/>
  <c r="G27" i="8" s="1"/>
  <c r="A32" i="8"/>
  <c r="F31" i="8"/>
  <c r="A31" i="8"/>
  <c r="F30" i="8"/>
  <c r="A30" i="8"/>
  <c r="F29" i="8"/>
  <c r="A29" i="8"/>
  <c r="F28" i="8"/>
  <c r="A28" i="8"/>
  <c r="F27" i="8"/>
  <c r="A27" i="8"/>
  <c r="F26" i="8"/>
  <c r="A26" i="8"/>
  <c r="F25" i="8"/>
  <c r="A25" i="8"/>
  <c r="F24" i="8"/>
  <c r="A24" i="8"/>
  <c r="F23" i="8"/>
  <c r="A23" i="8"/>
  <c r="F22" i="8"/>
  <c r="A22" i="8"/>
  <c r="F21" i="8"/>
  <c r="A21" i="8"/>
  <c r="B7" i="8"/>
  <c r="C11" i="12" s="1"/>
  <c r="H10" i="7"/>
  <c r="G10" i="7"/>
  <c r="F10" i="7"/>
  <c r="H9" i="7"/>
  <c r="G9" i="7"/>
  <c r="F9" i="7"/>
  <c r="H8" i="7"/>
  <c r="G8" i="7"/>
  <c r="F8" i="7"/>
  <c r="H7" i="7"/>
  <c r="G7" i="7"/>
  <c r="F7" i="7"/>
  <c r="H6" i="7"/>
  <c r="G6" i="7"/>
  <c r="F6" i="7"/>
  <c r="H5" i="7"/>
  <c r="G5" i="7"/>
  <c r="F5" i="7"/>
  <c r="D8" i="6"/>
  <c r="E8" i="6" s="1"/>
  <c r="D9" i="6" s="1"/>
  <c r="E9" i="6" s="1"/>
  <c r="D10" i="6" s="1"/>
  <c r="E10" i="6" s="1"/>
  <c r="D11" i="6" s="1"/>
  <c r="E11" i="6" s="1"/>
  <c r="D12" i="6" s="1"/>
  <c r="E12" i="6" s="1"/>
  <c r="D13" i="6" s="1"/>
  <c r="E13" i="6" s="1"/>
  <c r="D14" i="6" s="1"/>
  <c r="E14" i="6" s="1"/>
  <c r="D15" i="6" s="1"/>
  <c r="E15" i="6" s="1"/>
  <c r="D16" i="6" s="1"/>
  <c r="E16" i="6" s="1"/>
  <c r="D17" i="6" s="1"/>
  <c r="E17" i="6" s="1"/>
  <c r="D18" i="6" s="1"/>
  <c r="E18" i="6" s="1"/>
  <c r="D19" i="6" s="1"/>
  <c r="E19" i="6" s="1"/>
  <c r="D20" i="6" s="1"/>
  <c r="E20" i="6" s="1"/>
  <c r="D21" i="6" s="1"/>
  <c r="E21" i="6" s="1"/>
  <c r="D22" i="6" s="1"/>
  <c r="E22" i="6" s="1"/>
  <c r="D23" i="6" s="1"/>
  <c r="E23" i="6" s="1"/>
  <c r="E7" i="6"/>
  <c r="E6" i="6"/>
  <c r="D6" i="6"/>
  <c r="D6" i="5"/>
  <c r="E38" i="4"/>
  <c r="B41" i="4" s="1"/>
  <c r="E37" i="4"/>
  <c r="E33" i="4"/>
  <c r="C29" i="4"/>
  <c r="C28" i="4"/>
  <c r="C27" i="4"/>
  <c r="C26" i="4"/>
  <c r="C25" i="4"/>
  <c r="C24" i="4"/>
  <c r="C23" i="4"/>
  <c r="C22" i="4"/>
  <c r="C21" i="4"/>
  <c r="C20" i="4"/>
  <c r="G19" i="4"/>
  <c r="C19" i="4"/>
  <c r="C18" i="4"/>
  <c r="C17" i="4"/>
  <c r="C16" i="4"/>
  <c r="C15" i="4"/>
  <c r="C14" i="4"/>
  <c r="G13" i="4"/>
  <c r="C13" i="4"/>
  <c r="C12" i="4"/>
  <c r="C11" i="4"/>
  <c r="C10" i="4"/>
  <c r="C9" i="4"/>
  <c r="C8" i="4"/>
  <c r="G7" i="4"/>
  <c r="C7" i="4"/>
  <c r="C6" i="4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G42" i="9" s="1"/>
  <c r="F45" i="3"/>
  <c r="F44" i="3"/>
  <c r="F43" i="3"/>
  <c r="F42" i="3"/>
  <c r="F41" i="3"/>
  <c r="G34" i="9" s="1"/>
  <c r="F40" i="3"/>
  <c r="J34" i="3"/>
  <c r="I34" i="3"/>
  <c r="C34" i="3"/>
  <c r="B34" i="3"/>
  <c r="A34" i="3"/>
  <c r="J33" i="3"/>
  <c r="I33" i="3"/>
  <c r="E35" i="4" s="1"/>
  <c r="B40" i="4" s="1"/>
  <c r="C33" i="3"/>
  <c r="B33" i="3"/>
  <c r="A33" i="3"/>
  <c r="J32" i="3"/>
  <c r="I32" i="3"/>
  <c r="F42" i="2" s="1"/>
  <c r="E34" i="3" s="1"/>
  <c r="D38" i="4" s="1"/>
  <c r="C32" i="3"/>
  <c r="B32" i="3"/>
  <c r="A32" i="3"/>
  <c r="J31" i="3"/>
  <c r="I31" i="3"/>
  <c r="C31" i="3"/>
  <c r="B31" i="3"/>
  <c r="A31" i="3"/>
  <c r="J30" i="3"/>
  <c r="I30" i="3"/>
  <c r="E34" i="4" s="1"/>
  <c r="C30" i="3"/>
  <c r="B30" i="3"/>
  <c r="A30" i="3"/>
  <c r="J29" i="3"/>
  <c r="I29" i="3"/>
  <c r="C29" i="3"/>
  <c r="B29" i="3"/>
  <c r="A29" i="3"/>
  <c r="J28" i="3"/>
  <c r="I28" i="3"/>
  <c r="C28" i="3"/>
  <c r="B28" i="3"/>
  <c r="A28" i="3"/>
  <c r="J27" i="3"/>
  <c r="I27" i="3"/>
  <c r="D27" i="3"/>
  <c r="C27" i="3"/>
  <c r="B27" i="3"/>
  <c r="A27" i="3"/>
  <c r="J26" i="3"/>
  <c r="I26" i="3"/>
  <c r="C26" i="3"/>
  <c r="B26" i="3"/>
  <c r="A26" i="3"/>
  <c r="J25" i="3"/>
  <c r="I25" i="3"/>
  <c r="E25" i="3"/>
  <c r="C25" i="3"/>
  <c r="B25" i="3"/>
  <c r="A25" i="3"/>
  <c r="J24" i="3"/>
  <c r="I24" i="3"/>
  <c r="E24" i="3"/>
  <c r="C24" i="3"/>
  <c r="B24" i="3"/>
  <c r="A24" i="3"/>
  <c r="J23" i="3"/>
  <c r="I23" i="3"/>
  <c r="E23" i="3"/>
  <c r="D23" i="3"/>
  <c r="C23" i="3"/>
  <c r="B23" i="3"/>
  <c r="A23" i="3"/>
  <c r="J22" i="3"/>
  <c r="I22" i="3"/>
  <c r="E22" i="3"/>
  <c r="C22" i="3"/>
  <c r="B22" i="3"/>
  <c r="A22" i="3"/>
  <c r="J21" i="3"/>
  <c r="I21" i="3"/>
  <c r="E28" i="4" s="1"/>
  <c r="E21" i="3"/>
  <c r="C21" i="3"/>
  <c r="B21" i="3"/>
  <c r="A21" i="3"/>
  <c r="J20" i="3"/>
  <c r="I20" i="3"/>
  <c r="C20" i="3"/>
  <c r="B20" i="3"/>
  <c r="A20" i="3"/>
  <c r="J19" i="3"/>
  <c r="I19" i="3"/>
  <c r="D19" i="3"/>
  <c r="C19" i="3"/>
  <c r="B19" i="3"/>
  <c r="A19" i="3"/>
  <c r="J18" i="3"/>
  <c r="I18" i="3"/>
  <c r="E26" i="4" s="1"/>
  <c r="D18" i="3"/>
  <c r="C18" i="3"/>
  <c r="B18" i="3"/>
  <c r="A18" i="3"/>
  <c r="J17" i="3"/>
  <c r="I17" i="3"/>
  <c r="E25" i="4" s="1"/>
  <c r="C17" i="3"/>
  <c r="B17" i="3"/>
  <c r="A17" i="3"/>
  <c r="J16" i="3"/>
  <c r="I16" i="3"/>
  <c r="C16" i="3"/>
  <c r="B16" i="3"/>
  <c r="A16" i="3"/>
  <c r="J15" i="3"/>
  <c r="I15" i="3"/>
  <c r="D15" i="3"/>
  <c r="C15" i="3"/>
  <c r="B15" i="3"/>
  <c r="A15" i="3"/>
  <c r="J14" i="3"/>
  <c r="I14" i="3"/>
  <c r="E14" i="3"/>
  <c r="D14" i="3"/>
  <c r="C14" i="3"/>
  <c r="B14" i="3"/>
  <c r="A14" i="3"/>
  <c r="J13" i="3"/>
  <c r="I13" i="3"/>
  <c r="C13" i="3"/>
  <c r="B13" i="3"/>
  <c r="A13" i="3"/>
  <c r="J12" i="3"/>
  <c r="I12" i="3"/>
  <c r="E12" i="3"/>
  <c r="C12" i="3"/>
  <c r="B12" i="3"/>
  <c r="A12" i="3"/>
  <c r="J11" i="3"/>
  <c r="I11" i="3"/>
  <c r="C11" i="3"/>
  <c r="B11" i="3"/>
  <c r="A11" i="3"/>
  <c r="J10" i="3"/>
  <c r="I10" i="3"/>
  <c r="C10" i="3"/>
  <c r="B10" i="3"/>
  <c r="A10" i="3"/>
  <c r="J9" i="3"/>
  <c r="I9" i="3"/>
  <c r="E9" i="3"/>
  <c r="D9" i="3"/>
  <c r="C9" i="3"/>
  <c r="B9" i="3"/>
  <c r="A9" i="3"/>
  <c r="J8" i="3"/>
  <c r="I8" i="3"/>
  <c r="D8" i="3"/>
  <c r="C8" i="3"/>
  <c r="B8" i="3"/>
  <c r="A8" i="3"/>
  <c r="J7" i="3"/>
  <c r="I7" i="3"/>
  <c r="E14" i="4" s="1"/>
  <c r="C7" i="3"/>
  <c r="B7" i="3"/>
  <c r="A7" i="3"/>
  <c r="J6" i="3"/>
  <c r="I6" i="3"/>
  <c r="D6" i="3"/>
  <c r="C6" i="3"/>
  <c r="B6" i="3"/>
  <c r="A6" i="3"/>
  <c r="J5" i="3"/>
  <c r="I5" i="3"/>
  <c r="E5" i="3"/>
  <c r="C5" i="3"/>
  <c r="B5" i="3"/>
  <c r="A5" i="3"/>
  <c r="F41" i="2"/>
  <c r="E33" i="3" s="1"/>
  <c r="D35" i="4" s="1"/>
  <c r="E41" i="2"/>
  <c r="D33" i="3" s="1"/>
  <c r="C35" i="4" s="1"/>
  <c r="F36" i="2"/>
  <c r="E28" i="3" s="1"/>
  <c r="E36" i="2"/>
  <c r="D28" i="3" s="1"/>
  <c r="F35" i="2"/>
  <c r="E27" i="3" s="1"/>
  <c r="E35" i="2"/>
  <c r="F34" i="2"/>
  <c r="E26" i="3" s="1"/>
  <c r="E34" i="2"/>
  <c r="D26" i="3" s="1"/>
  <c r="F33" i="2"/>
  <c r="E33" i="2"/>
  <c r="D25" i="3" s="1"/>
  <c r="F32" i="2"/>
  <c r="E32" i="2"/>
  <c r="D24" i="3" s="1"/>
  <c r="F31" i="2"/>
  <c r="E31" i="2"/>
  <c r="F30" i="2"/>
  <c r="E30" i="2"/>
  <c r="D22" i="3" s="1"/>
  <c r="F29" i="2"/>
  <c r="E29" i="2"/>
  <c r="D21" i="3" s="1"/>
  <c r="F28" i="2"/>
  <c r="E20" i="3" s="1"/>
  <c r="E28" i="2"/>
  <c r="D20" i="3" s="1"/>
  <c r="F22" i="4" s="1"/>
  <c r="F27" i="2"/>
  <c r="E19" i="3" s="1"/>
  <c r="E27" i="2"/>
  <c r="F26" i="2"/>
  <c r="E18" i="3" s="1"/>
  <c r="E26" i="2"/>
  <c r="F25" i="2"/>
  <c r="E17" i="3" s="1"/>
  <c r="E25" i="2"/>
  <c r="D17" i="3" s="1"/>
  <c r="H24" i="2"/>
  <c r="I24" i="2" s="1"/>
  <c r="F24" i="2"/>
  <c r="E16" i="3" s="1"/>
  <c r="E24" i="2"/>
  <c r="D16" i="3" s="1"/>
  <c r="H23" i="2"/>
  <c r="I23" i="2" s="1"/>
  <c r="F23" i="2"/>
  <c r="E15" i="3" s="1"/>
  <c r="E23" i="2"/>
  <c r="I22" i="2"/>
  <c r="H22" i="2"/>
  <c r="F22" i="2"/>
  <c r="E22" i="2"/>
  <c r="H21" i="2"/>
  <c r="I21" i="2" s="1"/>
  <c r="F21" i="2"/>
  <c r="E13" i="3" s="1"/>
  <c r="E21" i="2"/>
  <c r="D13" i="3" s="1"/>
  <c r="I20" i="2"/>
  <c r="H20" i="2"/>
  <c r="F20" i="2"/>
  <c r="E20" i="2"/>
  <c r="D12" i="3" s="1"/>
  <c r="H19" i="2"/>
  <c r="I19" i="2" s="1"/>
  <c r="F19" i="2"/>
  <c r="E11" i="3" s="1"/>
  <c r="E19" i="2"/>
  <c r="D11" i="3" s="1"/>
  <c r="H18" i="2"/>
  <c r="I18" i="2" s="1"/>
  <c r="F18" i="2"/>
  <c r="E10" i="3" s="1"/>
  <c r="E18" i="2"/>
  <c r="D10" i="3" s="1"/>
  <c r="H17" i="2"/>
  <c r="I17" i="2" s="1"/>
  <c r="F17" i="2"/>
  <c r="E17" i="2"/>
  <c r="I16" i="2"/>
  <c r="H16" i="2"/>
  <c r="F16" i="2"/>
  <c r="E8" i="3" s="1"/>
  <c r="E16" i="2"/>
  <c r="H15" i="2"/>
  <c r="I15" i="2" s="1"/>
  <c r="F15" i="2"/>
  <c r="E7" i="3" s="1"/>
  <c r="E15" i="2"/>
  <c r="D7" i="3" s="1"/>
  <c r="I14" i="2"/>
  <c r="H14" i="2"/>
  <c r="F14" i="2"/>
  <c r="E6" i="3" s="1"/>
  <c r="E14" i="2"/>
  <c r="H13" i="2"/>
  <c r="I13" i="2" s="1"/>
  <c r="F13" i="2"/>
  <c r="E13" i="2"/>
  <c r="D5" i="3" s="1"/>
  <c r="D18" i="1"/>
  <c r="D17" i="1"/>
  <c r="D16" i="1"/>
  <c r="D15" i="1"/>
  <c r="D13" i="1"/>
  <c r="D12" i="1"/>
  <c r="D11" i="1"/>
  <c r="D10" i="1"/>
  <c r="D9" i="1"/>
  <c r="C9" i="1"/>
  <c r="E7" i="5" s="1"/>
  <c r="D8" i="1"/>
  <c r="C8" i="1" s="1"/>
  <c r="B9" i="1" s="1"/>
  <c r="D7" i="5" s="1"/>
  <c r="C7" i="1"/>
  <c r="E5" i="5" s="1"/>
  <c r="F136" i="8" l="1"/>
  <c r="G32" i="8"/>
  <c r="J30" i="9"/>
  <c r="I30" i="9"/>
  <c r="G20" i="4"/>
  <c r="E20" i="4"/>
  <c r="F20" i="4"/>
  <c r="D9" i="10"/>
  <c r="D20" i="4"/>
  <c r="G8" i="4"/>
  <c r="C9" i="10"/>
  <c r="F9" i="10" s="1"/>
  <c r="F8" i="4"/>
  <c r="E8" i="4"/>
  <c r="D8" i="4"/>
  <c r="F75" i="8"/>
  <c r="F132" i="8"/>
  <c r="G17" i="4"/>
  <c r="G15" i="4"/>
  <c r="G14" i="4"/>
  <c r="G28" i="8"/>
  <c r="F47" i="8"/>
  <c r="B12" i="8"/>
  <c r="C16" i="12" s="1"/>
  <c r="F134" i="8"/>
  <c r="F135" i="8"/>
  <c r="F128" i="8"/>
  <c r="F127" i="8"/>
  <c r="H26" i="4"/>
  <c r="G10" i="4"/>
  <c r="E22" i="4"/>
  <c r="H22" i="4" s="1"/>
  <c r="D28" i="4"/>
  <c r="G23" i="8"/>
  <c r="G175" i="8"/>
  <c r="J16" i="9"/>
  <c r="I16" i="9"/>
  <c r="F16" i="4"/>
  <c r="F17" i="4"/>
  <c r="F13" i="4"/>
  <c r="F9" i="4"/>
  <c r="F7" i="4"/>
  <c r="F11" i="4"/>
  <c r="D13" i="4"/>
  <c r="D11" i="4"/>
  <c r="D9" i="4"/>
  <c r="F14" i="4"/>
  <c r="D14" i="4"/>
  <c r="F15" i="4"/>
  <c r="G26" i="4"/>
  <c r="G29" i="4"/>
  <c r="G171" i="8"/>
  <c r="B15" i="8"/>
  <c r="C19" i="12" s="1"/>
  <c r="H170" i="8"/>
  <c r="G27" i="4"/>
  <c r="E10" i="4"/>
  <c r="H10" i="4" s="1"/>
  <c r="D16" i="4"/>
  <c r="F71" i="8"/>
  <c r="H16" i="9"/>
  <c r="D5" i="10"/>
  <c r="J34" i="9"/>
  <c r="I34" i="9"/>
  <c r="H34" i="9"/>
  <c r="F10" i="4"/>
  <c r="E16" i="4"/>
  <c r="H16" i="4" s="1"/>
  <c r="E10" i="10"/>
  <c r="E8" i="10"/>
  <c r="E15" i="10"/>
  <c r="E9" i="10"/>
  <c r="F43" i="8"/>
  <c r="F105" i="8"/>
  <c r="E42" i="2"/>
  <c r="D34" i="3" s="1"/>
  <c r="C38" i="4" s="1"/>
  <c r="E36" i="4"/>
  <c r="J42" i="9"/>
  <c r="I42" i="9"/>
  <c r="H42" i="9"/>
  <c r="F147" i="8"/>
  <c r="B13" i="8"/>
  <c r="C17" i="12" s="1"/>
  <c r="J40" i="9"/>
  <c r="I40" i="9"/>
  <c r="F38" i="8"/>
  <c r="F36" i="8"/>
  <c r="F101" i="8"/>
  <c r="H40" i="9"/>
  <c r="H14" i="4"/>
  <c r="I14" i="4" s="1"/>
  <c r="H30" i="9"/>
  <c r="F67" i="8"/>
  <c r="J6" i="9"/>
  <c r="I6" i="9"/>
  <c r="D26" i="4"/>
  <c r="E6" i="4"/>
  <c r="G25" i="4"/>
  <c r="F39" i="8"/>
  <c r="F96" i="8"/>
  <c r="F40" i="8"/>
  <c r="F77" i="8"/>
  <c r="F73" i="8"/>
  <c r="F69" i="8"/>
  <c r="G65" i="8"/>
  <c r="B8" i="8"/>
  <c r="C12" i="12" s="1"/>
  <c r="J12" i="9"/>
  <c r="I12" i="9"/>
  <c r="G30" i="8"/>
  <c r="G26" i="8"/>
  <c r="G22" i="8"/>
  <c r="F66" i="8"/>
  <c r="F89" i="8"/>
  <c r="F104" i="8"/>
  <c r="F107" i="8"/>
  <c r="G95" i="8"/>
  <c r="B10" i="8"/>
  <c r="C14" i="12" s="1"/>
  <c r="F99" i="8"/>
  <c r="F137" i="8"/>
  <c r="G180" i="8"/>
  <c r="H12" i="9"/>
  <c r="G22" i="9"/>
  <c r="F28" i="4"/>
  <c r="H28" i="4" s="1"/>
  <c r="F29" i="4"/>
  <c r="F25" i="4"/>
  <c r="H25" i="4" s="1"/>
  <c r="I25" i="4" s="1"/>
  <c r="F21" i="4"/>
  <c r="F19" i="4"/>
  <c r="F23" i="4"/>
  <c r="D25" i="4"/>
  <c r="D23" i="4"/>
  <c r="D21" i="4"/>
  <c r="F26" i="4"/>
  <c r="B14" i="8"/>
  <c r="C18" i="12" s="1"/>
  <c r="G24" i="8"/>
  <c r="F46" i="8"/>
  <c r="F76" i="8"/>
  <c r="F84" i="8"/>
  <c r="F97" i="8"/>
  <c r="F102" i="8"/>
  <c r="F151" i="8"/>
  <c r="G176" i="8"/>
  <c r="E17" i="4"/>
  <c r="H17" i="4" s="1"/>
  <c r="F45" i="8"/>
  <c r="E15" i="4"/>
  <c r="D18" i="4"/>
  <c r="G18" i="4"/>
  <c r="H20" i="8"/>
  <c r="F42" i="8"/>
  <c r="F72" i="8"/>
  <c r="F85" i="8"/>
  <c r="F103" i="8"/>
  <c r="F164" i="8"/>
  <c r="G28" i="9"/>
  <c r="E11" i="10"/>
  <c r="E5" i="10"/>
  <c r="E12" i="4"/>
  <c r="H12" i="4" s="1"/>
  <c r="E24" i="4"/>
  <c r="H24" i="4" s="1"/>
  <c r="G110" i="8"/>
  <c r="G140" i="8"/>
  <c r="G18" i="9"/>
  <c r="E14" i="10"/>
  <c r="E27" i="4"/>
  <c r="B10" i="1"/>
  <c r="F12" i="4"/>
  <c r="E18" i="4"/>
  <c r="H18" i="4" s="1"/>
  <c r="F24" i="4"/>
  <c r="F27" i="4"/>
  <c r="F121" i="8"/>
  <c r="G172" i="8"/>
  <c r="G182" i="8"/>
  <c r="D6" i="4"/>
  <c r="C15" i="10"/>
  <c r="C10" i="10"/>
  <c r="G6" i="4"/>
  <c r="D12" i="4"/>
  <c r="D24" i="4"/>
  <c r="F6" i="4"/>
  <c r="G12" i="4"/>
  <c r="F18" i="4"/>
  <c r="G24" i="4"/>
  <c r="F60" i="8"/>
  <c r="F68" i="8"/>
  <c r="F91" i="8"/>
  <c r="F112" i="8"/>
  <c r="G24" i="9"/>
  <c r="D11" i="10"/>
  <c r="G22" i="4"/>
  <c r="G31" i="8"/>
  <c r="G50" i="8"/>
  <c r="F57" i="8"/>
  <c r="F56" i="8"/>
  <c r="F81" i="8"/>
  <c r="F92" i="8"/>
  <c r="B9" i="8"/>
  <c r="C13" i="12" s="1"/>
  <c r="F87" i="8"/>
  <c r="F122" i="8"/>
  <c r="F130" i="8"/>
  <c r="F141" i="8"/>
  <c r="F145" i="8"/>
  <c r="F157" i="8"/>
  <c r="F165" i="8"/>
  <c r="F161" i="8"/>
  <c r="G10" i="9"/>
  <c r="E7" i="10"/>
  <c r="E29" i="4"/>
  <c r="F83" i="8"/>
  <c r="J36" i="9"/>
  <c r="I36" i="9"/>
  <c r="F59" i="8"/>
  <c r="E13" i="4"/>
  <c r="H13" i="4" s="1"/>
  <c r="C12" i="10" s="1"/>
  <c r="E9" i="4"/>
  <c r="H9" i="4" s="1"/>
  <c r="I9" i="4" s="1"/>
  <c r="F37" i="2" s="1"/>
  <c r="E29" i="3" s="1"/>
  <c r="D33" i="4" s="1"/>
  <c r="D10" i="4"/>
  <c r="G16" i="4"/>
  <c r="D22" i="4"/>
  <c r="G28" i="4"/>
  <c r="G29" i="8"/>
  <c r="F51" i="8"/>
  <c r="F61" i="8"/>
  <c r="F143" i="8"/>
  <c r="F156" i="8"/>
  <c r="F166" i="8"/>
  <c r="G178" i="8"/>
  <c r="E16" i="10"/>
  <c r="E12" i="10"/>
  <c r="G44" i="9"/>
  <c r="G41" i="9"/>
  <c r="G38" i="9"/>
  <c r="G35" i="9"/>
  <c r="G32" i="9"/>
  <c r="G29" i="9"/>
  <c r="G26" i="9"/>
  <c r="G23" i="9"/>
  <c r="G20" i="9"/>
  <c r="G17" i="9"/>
  <c r="G14" i="9"/>
  <c r="G11" i="9"/>
  <c r="G8" i="9"/>
  <c r="B5" i="8"/>
  <c r="C9" i="12" s="1"/>
  <c r="G21" i="8"/>
  <c r="G25" i="8"/>
  <c r="B6" i="8"/>
  <c r="C10" i="12" s="1"/>
  <c r="F98" i="8"/>
  <c r="F133" i="8"/>
  <c r="F129" i="8"/>
  <c r="B7" i="1"/>
  <c r="D5" i="5" s="1"/>
  <c r="G9" i="4"/>
  <c r="E11" i="4"/>
  <c r="H11" i="4" s="1"/>
  <c r="G21" i="4"/>
  <c r="E23" i="4"/>
  <c r="H23" i="4" s="1"/>
  <c r="F41" i="8"/>
  <c r="F152" i="8"/>
  <c r="F148" i="8"/>
  <c r="F144" i="8"/>
  <c r="G181" i="8"/>
  <c r="E6" i="10"/>
  <c r="C8" i="12"/>
  <c r="F150" i="8"/>
  <c r="D7" i="4"/>
  <c r="D19" i="4"/>
  <c r="F37" i="8"/>
  <c r="F146" i="8"/>
  <c r="G177" i="8"/>
  <c r="G7" i="9"/>
  <c r="G9" i="9"/>
  <c r="G13" i="9"/>
  <c r="G15" i="9"/>
  <c r="G19" i="9"/>
  <c r="G21" i="9"/>
  <c r="G25" i="9"/>
  <c r="G27" i="9"/>
  <c r="G31" i="9"/>
  <c r="G33" i="9"/>
  <c r="G37" i="9"/>
  <c r="G39" i="9"/>
  <c r="G43" i="9"/>
  <c r="G45" i="9"/>
  <c r="E7" i="4"/>
  <c r="H7" i="4" s="1"/>
  <c r="C6" i="10" s="1"/>
  <c r="D15" i="4"/>
  <c r="D17" i="4"/>
  <c r="E19" i="4"/>
  <c r="H19" i="4" s="1"/>
  <c r="E21" i="4"/>
  <c r="D27" i="4"/>
  <c r="D29" i="4"/>
  <c r="E6" i="5"/>
  <c r="F62" i="8"/>
  <c r="B11" i="8"/>
  <c r="C15" i="12" s="1"/>
  <c r="G125" i="8"/>
  <c r="G173" i="8"/>
  <c r="G11" i="4"/>
  <c r="G23" i="4"/>
  <c r="F58" i="8"/>
  <c r="F111" i="8"/>
  <c r="F126" i="8"/>
  <c r="F142" i="8"/>
  <c r="D15" i="10" l="1"/>
  <c r="F15" i="10" s="1"/>
  <c r="D12" i="10"/>
  <c r="F12" i="10" s="1"/>
  <c r="I12" i="4"/>
  <c r="E38" i="2" s="1"/>
  <c r="D30" i="3" s="1"/>
  <c r="C34" i="4" s="1"/>
  <c r="I9" i="9"/>
  <c r="H9" i="9"/>
  <c r="J9" i="9"/>
  <c r="J22" i="9"/>
  <c r="I22" i="9"/>
  <c r="H22" i="9"/>
  <c r="I10" i="4"/>
  <c r="H20" i="4"/>
  <c r="I19" i="4"/>
  <c r="I21" i="9"/>
  <c r="H21" i="9"/>
  <c r="J21" i="9"/>
  <c r="H17" i="9"/>
  <c r="J17" i="9"/>
  <c r="I17" i="9"/>
  <c r="H20" i="9"/>
  <c r="J20" i="9"/>
  <c r="I20" i="9"/>
  <c r="D6" i="10"/>
  <c r="F6" i="10" s="1"/>
  <c r="I7" i="4"/>
  <c r="I18" i="4"/>
  <c r="E39" i="2" s="1"/>
  <c r="D31" i="3" s="1"/>
  <c r="C36" i="4" s="1"/>
  <c r="J43" i="9"/>
  <c r="I43" i="9"/>
  <c r="H43" i="9"/>
  <c r="J7" i="9"/>
  <c r="A43" i="9" s="1"/>
  <c r="I7" i="9"/>
  <c r="H7" i="9"/>
  <c r="H32" i="9"/>
  <c r="J32" i="9"/>
  <c r="I32" i="9"/>
  <c r="I39" i="9"/>
  <c r="H39" i="9"/>
  <c r="J39" i="9"/>
  <c r="H35" i="9"/>
  <c r="J35" i="9"/>
  <c r="I35" i="9"/>
  <c r="H29" i="4"/>
  <c r="C8" i="10"/>
  <c r="C10" i="1"/>
  <c r="D8" i="5"/>
  <c r="J28" i="9"/>
  <c r="I28" i="9"/>
  <c r="H28" i="9"/>
  <c r="H15" i="4"/>
  <c r="H6" i="4"/>
  <c r="I24" i="4"/>
  <c r="E40" i="2" s="1"/>
  <c r="D32" i="3" s="1"/>
  <c r="C37" i="4" s="1"/>
  <c r="H29" i="9"/>
  <c r="J29" i="9"/>
  <c r="I29" i="9"/>
  <c r="I26" i="4"/>
  <c r="D13" i="10"/>
  <c r="I33" i="9"/>
  <c r="H33" i="9"/>
  <c r="J33" i="9"/>
  <c r="I23" i="4"/>
  <c r="H41" i="9"/>
  <c r="J41" i="9"/>
  <c r="I41" i="9"/>
  <c r="J10" i="9"/>
  <c r="I10" i="9"/>
  <c r="H10" i="9"/>
  <c r="D10" i="10"/>
  <c r="F10" i="10" s="1"/>
  <c r="I17" i="4"/>
  <c r="C16" i="10"/>
  <c r="J19" i="9"/>
  <c r="I19" i="9"/>
  <c r="H19" i="9"/>
  <c r="I13" i="4"/>
  <c r="H23" i="9"/>
  <c r="J23" i="9"/>
  <c r="I23" i="9"/>
  <c r="H26" i="9"/>
  <c r="J26" i="9"/>
  <c r="I26" i="9"/>
  <c r="J24" i="9"/>
  <c r="I24" i="9"/>
  <c r="H24" i="9"/>
  <c r="C13" i="10"/>
  <c r="F13" i="10" s="1"/>
  <c r="H8" i="9"/>
  <c r="J8" i="9"/>
  <c r="I8" i="9"/>
  <c r="H44" i="9"/>
  <c r="J44" i="9"/>
  <c r="I44" i="9"/>
  <c r="C11" i="10"/>
  <c r="F11" i="10" s="1"/>
  <c r="A10" i="9"/>
  <c r="A15" i="9"/>
  <c r="A42" i="9"/>
  <c r="J13" i="9"/>
  <c r="A31" i="9" s="1"/>
  <c r="I13" i="9"/>
  <c r="H13" i="9"/>
  <c r="I45" i="9"/>
  <c r="H45" i="9"/>
  <c r="J45" i="9"/>
  <c r="J37" i="9"/>
  <c r="I37" i="9"/>
  <c r="H37" i="9"/>
  <c r="H38" i="9"/>
  <c r="J38" i="9"/>
  <c r="I38" i="9"/>
  <c r="J31" i="9"/>
  <c r="I31" i="9"/>
  <c r="H31" i="9"/>
  <c r="I27" i="9"/>
  <c r="H27" i="9"/>
  <c r="J27" i="9"/>
  <c r="I11" i="4"/>
  <c r="H11" i="9"/>
  <c r="J11" i="9"/>
  <c r="I11" i="9"/>
  <c r="H8" i="4"/>
  <c r="I15" i="9"/>
  <c r="H15" i="9"/>
  <c r="J15" i="9"/>
  <c r="H27" i="4"/>
  <c r="H21" i="4"/>
  <c r="J25" i="9"/>
  <c r="I25" i="9"/>
  <c r="H25" i="9"/>
  <c r="H14" i="9"/>
  <c r="J14" i="9"/>
  <c r="I14" i="9"/>
  <c r="J18" i="9"/>
  <c r="I18" i="9"/>
  <c r="H18" i="9"/>
  <c r="B31" i="9" l="1"/>
  <c r="D31" i="9"/>
  <c r="C31" i="9"/>
  <c r="B43" i="9"/>
  <c r="D43" i="9"/>
  <c r="C43" i="9"/>
  <c r="A17" i="9"/>
  <c r="I29" i="4"/>
  <c r="D16" i="10"/>
  <c r="F16" i="10" s="1"/>
  <c r="A38" i="9"/>
  <c r="A19" i="9"/>
  <c r="I21" i="4"/>
  <c r="F39" i="2" s="1"/>
  <c r="E31" i="3" s="1"/>
  <c r="D36" i="4" s="1"/>
  <c r="D8" i="10"/>
  <c r="F8" i="10" s="1"/>
  <c r="A20" i="9"/>
  <c r="A27" i="9"/>
  <c r="A22" i="9"/>
  <c r="A14" i="9"/>
  <c r="A13" i="9"/>
  <c r="A21" i="9"/>
  <c r="A16" i="9"/>
  <c r="A18" i="9"/>
  <c r="A23" i="9"/>
  <c r="I27" i="4"/>
  <c r="F40" i="2" s="1"/>
  <c r="E32" i="3" s="1"/>
  <c r="D37" i="4" s="1"/>
  <c r="D14" i="10"/>
  <c r="A44" i="9"/>
  <c r="A29" i="9"/>
  <c r="A25" i="9"/>
  <c r="I6" i="4"/>
  <c r="E37" i="2" s="1"/>
  <c r="D29" i="3" s="1"/>
  <c r="C33" i="4" s="1"/>
  <c r="C5" i="10"/>
  <c r="F5" i="10" s="1"/>
  <c r="A6" i="9"/>
  <c r="A33" i="9"/>
  <c r="A28" i="9"/>
  <c r="I15" i="4"/>
  <c r="F38" i="2" s="1"/>
  <c r="E30" i="3" s="1"/>
  <c r="D34" i="4" s="1"/>
  <c r="C14" i="10"/>
  <c r="A30" i="9"/>
  <c r="A35" i="9"/>
  <c r="A24" i="9"/>
  <c r="A39" i="9"/>
  <c r="A34" i="9"/>
  <c r="I22" i="4"/>
  <c r="I28" i="4"/>
  <c r="D42" i="9"/>
  <c r="C42" i="9"/>
  <c r="B42" i="9"/>
  <c r="D15" i="9"/>
  <c r="B15" i="9"/>
  <c r="C15" i="9"/>
  <c r="B10" i="9"/>
  <c r="D10" i="9"/>
  <c r="C10" i="9"/>
  <c r="I20" i="4"/>
  <c r="D7" i="10"/>
  <c r="I8" i="4"/>
  <c r="C7" i="10"/>
  <c r="A36" i="9"/>
  <c r="A26" i="9"/>
  <c r="A41" i="9"/>
  <c r="A37" i="9"/>
  <c r="A12" i="9"/>
  <c r="A9" i="9"/>
  <c r="A45" i="9"/>
  <c r="A40" i="9"/>
  <c r="I16" i="4"/>
  <c r="A32" i="9"/>
  <c r="A8" i="9"/>
  <c r="A11" i="9"/>
  <c r="A7" i="9"/>
  <c r="B11" i="1"/>
  <c r="E8" i="5"/>
  <c r="A11" i="10" l="1"/>
  <c r="G11" i="10" s="1"/>
  <c r="B40" i="9"/>
  <c r="C40" i="9"/>
  <c r="D40" i="9"/>
  <c r="B34" i="9"/>
  <c r="D34" i="9"/>
  <c r="C34" i="9"/>
  <c r="A15" i="10"/>
  <c r="G15" i="10" s="1"/>
  <c r="D39" i="9"/>
  <c r="B39" i="9"/>
  <c r="C39" i="9"/>
  <c r="B29" i="9"/>
  <c r="D29" i="9"/>
  <c r="C29" i="9"/>
  <c r="B37" i="9"/>
  <c r="D37" i="9"/>
  <c r="C37" i="9"/>
  <c r="D30" i="9"/>
  <c r="C30" i="9"/>
  <c r="B30" i="9"/>
  <c r="D41" i="9"/>
  <c r="C41" i="9"/>
  <c r="B41" i="9"/>
  <c r="D32" i="9"/>
  <c r="C32" i="9"/>
  <c r="B32" i="9"/>
  <c r="D6" i="9"/>
  <c r="C6" i="9"/>
  <c r="B6" i="9"/>
  <c r="B13" i="9"/>
  <c r="D13" i="9"/>
  <c r="C13" i="9"/>
  <c r="D17" i="9"/>
  <c r="B17" i="9"/>
  <c r="C17" i="9"/>
  <c r="B14" i="9"/>
  <c r="D14" i="9"/>
  <c r="C14" i="9"/>
  <c r="D45" i="9"/>
  <c r="C45" i="9"/>
  <c r="B45" i="9"/>
  <c r="B25" i="9"/>
  <c r="C25" i="9"/>
  <c r="D25" i="9"/>
  <c r="B22" i="9"/>
  <c r="D22" i="9"/>
  <c r="C22" i="9"/>
  <c r="A12" i="10"/>
  <c r="G12" i="10" s="1"/>
  <c r="D9" i="9"/>
  <c r="B9" i="9"/>
  <c r="C9" i="9"/>
  <c r="D24" i="9"/>
  <c r="C24" i="9"/>
  <c r="B24" i="9"/>
  <c r="D27" i="9"/>
  <c r="C27" i="9"/>
  <c r="B27" i="9"/>
  <c r="D12" i="9"/>
  <c r="C12" i="9"/>
  <c r="B12" i="9"/>
  <c r="D35" i="9"/>
  <c r="C35" i="9"/>
  <c r="B35" i="9"/>
  <c r="D44" i="9"/>
  <c r="C44" i="9"/>
  <c r="B44" i="9"/>
  <c r="D20" i="9"/>
  <c r="C20" i="9"/>
  <c r="B20" i="9"/>
  <c r="F14" i="10"/>
  <c r="A14" i="10" s="1"/>
  <c r="G14" i="10" s="1"/>
  <c r="B23" i="9"/>
  <c r="D23" i="9"/>
  <c r="C23" i="9"/>
  <c r="B19" i="9"/>
  <c r="D19" i="9"/>
  <c r="C19" i="9"/>
  <c r="B7" i="9"/>
  <c r="D7" i="9"/>
  <c r="C7" i="9"/>
  <c r="D36" i="9"/>
  <c r="C36" i="9"/>
  <c r="B36" i="9"/>
  <c r="D18" i="9"/>
  <c r="C18" i="9"/>
  <c r="B18" i="9"/>
  <c r="B38" i="9"/>
  <c r="D38" i="9"/>
  <c r="C38" i="9"/>
  <c r="C11" i="1"/>
  <c r="D9" i="5"/>
  <c r="D11" i="9"/>
  <c r="B11" i="9"/>
  <c r="C11" i="9"/>
  <c r="C26" i="9"/>
  <c r="B26" i="9"/>
  <c r="D26" i="9"/>
  <c r="F7" i="10"/>
  <c r="A7" i="10" s="1"/>
  <c r="G7" i="10" s="1"/>
  <c r="B28" i="9"/>
  <c r="D28" i="9"/>
  <c r="C28" i="9"/>
  <c r="B16" i="9"/>
  <c r="C16" i="9"/>
  <c r="D16" i="9"/>
  <c r="B8" i="9"/>
  <c r="D8" i="9"/>
  <c r="C8" i="9"/>
  <c r="D33" i="9"/>
  <c r="B33" i="9"/>
  <c r="C33" i="9"/>
  <c r="D21" i="9"/>
  <c r="C21" i="9"/>
  <c r="B21" i="9"/>
  <c r="A6" i="10"/>
  <c r="G6" i="10" s="1"/>
  <c r="B47" i="9" l="1"/>
  <c r="C47" i="9"/>
  <c r="B12" i="1"/>
  <c r="E9" i="5"/>
  <c r="A9" i="10"/>
  <c r="G9" i="10" s="1"/>
  <c r="A8" i="10"/>
  <c r="G8" i="10" s="1"/>
  <c r="A13" i="10"/>
  <c r="G13" i="10" s="1"/>
  <c r="A10" i="10"/>
  <c r="G10" i="10" s="1"/>
  <c r="A5" i="10"/>
  <c r="A16" i="10"/>
  <c r="G16" i="10" s="1"/>
  <c r="G5" i="10" l="1"/>
  <c r="C7" i="12"/>
  <c r="C6" i="12"/>
  <c r="C5" i="12"/>
  <c r="C12" i="1"/>
  <c r="D10" i="5"/>
  <c r="C20" i="12"/>
  <c r="B13" i="1" l="1"/>
  <c r="E10" i="5"/>
  <c r="D11" i="5" l="1"/>
  <c r="C13" i="1"/>
  <c r="E11" i="5" l="1"/>
  <c r="B14" i="1"/>
  <c r="C14" i="1" l="1"/>
  <c r="D12" i="5"/>
  <c r="E12" i="5" l="1"/>
  <c r="B15" i="1"/>
  <c r="H33" i="2" l="1"/>
  <c r="I33" i="2" s="1"/>
  <c r="H36" i="2"/>
  <c r="I36" i="2" s="1"/>
  <c r="H26" i="2"/>
  <c r="I26" i="2" s="1"/>
  <c r="D13" i="5"/>
  <c r="H29" i="2"/>
  <c r="I29" i="2" s="1"/>
  <c r="H35" i="2"/>
  <c r="I35" i="2" s="1"/>
  <c r="H34" i="2"/>
  <c r="I34" i="2" s="1"/>
  <c r="H30" i="2"/>
  <c r="I30" i="2" s="1"/>
  <c r="H25" i="2"/>
  <c r="I25" i="2" s="1"/>
  <c r="C15" i="1"/>
  <c r="H28" i="2"/>
  <c r="I28" i="2" s="1"/>
  <c r="H32" i="2"/>
  <c r="I32" i="2" s="1"/>
  <c r="H27" i="2"/>
  <c r="I27" i="2" s="1"/>
  <c r="H31" i="2"/>
  <c r="I31" i="2" s="1"/>
  <c r="E13" i="5" l="1"/>
  <c r="B16" i="1"/>
  <c r="D14" i="5" l="1"/>
  <c r="C16" i="1"/>
  <c r="E14" i="5" l="1"/>
  <c r="B17" i="1"/>
  <c r="C17" i="1" l="1"/>
  <c r="D15" i="5"/>
  <c r="B18" i="1" l="1"/>
  <c r="E15" i="5"/>
  <c r="D16" i="5" l="1"/>
  <c r="C18" i="1"/>
  <c r="E16" i="5" l="1"/>
  <c r="B19" i="1"/>
  <c r="D17" i="5" l="1"/>
  <c r="C19" i="1"/>
  <c r="E17" i="5" l="1"/>
  <c r="B20" i="1"/>
  <c r="C20" i="1" l="1"/>
  <c r="H38" i="2"/>
  <c r="I38" i="2" s="1"/>
  <c r="D18" i="5"/>
  <c r="H37" i="2"/>
  <c r="I37" i="2" s="1"/>
  <c r="E18" i="5" l="1"/>
  <c r="B21" i="1"/>
  <c r="C21" i="1" l="1"/>
  <c r="H39" i="2"/>
  <c r="I39" i="2" s="1"/>
  <c r="H40" i="2"/>
  <c r="I40" i="2" s="1"/>
  <c r="D19" i="5"/>
  <c r="E19" i="5" l="1"/>
  <c r="B22" i="1"/>
  <c r="C22" i="1" l="1"/>
  <c r="D20" i="5"/>
  <c r="B23" i="1" l="1"/>
  <c r="E20" i="5"/>
  <c r="C23" i="1" l="1"/>
  <c r="D21" i="5"/>
  <c r="H41" i="2"/>
  <c r="I41" i="2" s="1"/>
  <c r="E21" i="5" l="1"/>
  <c r="B24" i="1"/>
  <c r="H42" i="2" l="1"/>
  <c r="I42" i="2" s="1"/>
  <c r="D22" i="5"/>
  <c r="C24" i="1"/>
  <c r="E22" i="5" l="1"/>
  <c r="B25" i="1"/>
  <c r="D23" i="5" l="1"/>
  <c r="C25" i="1"/>
  <c r="E23" i="5" l="1"/>
  <c r="B26" i="1"/>
  <c r="C26" i="1" l="1"/>
  <c r="D24" i="5"/>
  <c r="B27" i="1" l="1"/>
  <c r="E24" i="5"/>
  <c r="C27" i="1" l="1"/>
  <c r="E25" i="5" s="1"/>
  <c r="D25" i="5"/>
</calcChain>
</file>

<file path=xl/sharedStrings.xml><?xml version="1.0" encoding="utf-8"?>
<sst xmlns="http://schemas.openxmlformats.org/spreadsheetml/2006/main" count="818" uniqueCount="423">
  <si>
    <t>TIMELINE HỘI THAO – MÔ HÌNH 5W1H (CHI TIẾT TỪNG LƯỢT)</t>
  </si>
  <si>
    <t>Who – What – Where – When – Why – How</t>
  </si>
  <si>
    <t>Mốc cố định: Bóng né bắt đầu 10:15 (ô B8). Đấu hết vòng bảng CẢ 2 MÔN rồi mới sang bán kết + chung kết CẢ 2 MÔN.</t>
  </si>
  <si>
    <t>STT</t>
  </si>
  <si>
    <t>Bắt đầu</t>
  </si>
  <si>
    <t>Kết thúc</t>
  </si>
  <si>
    <t>Thời lượng
(phút)</t>
  </si>
  <si>
    <t>Ai (Who)</t>
  </si>
  <si>
    <t>Làm gì (What)</t>
  </si>
  <si>
    <t>Ở đâu (Where)</t>
  </si>
  <si>
    <t>Tại sao (Why)</t>
  </si>
  <si>
    <t>Làm thế nào (How)</t>
  </si>
  <si>
    <t>MC + Trưởng BTC + 12 đội trưởng</t>
  </si>
  <si>
    <t>Khai mạc chớp nhoáng, phổ biến luật 2 môn (bóng né, kéo co)</t>
  </si>
  <si>
    <t>Khu vực sân khấu trung tâm</t>
  </si>
  <si>
    <t>Đồng bộ luật 1 lần duy nhất; đảm bảo Bóng né khởi tranh đúng 10:15</t>
  </si>
  <si>
    <t>MC dẫn dắt theo kịch bản; phát tờ luật in sẵn cho 12 đội trưởng; từ phút thứ 7, TNV đưa các đội của Lượt 1 Bóng né vào vị trí đúng sân</t>
  </si>
  <si>
    <t>10:15</t>
  </si>
  <si>
    <t>2 trọng tài chính (Sân 1–2) + 2 time-keeper + 2 TNV gọi đội</t>
  </si>
  <si>
    <t>Bóng né vòng bảng — Lượt 1 (2 trận song song). Sân 1: Bảng A (vòng 1) — Sân 2: Bảng C (vòng 1)</t>
  </si>
  <si>
    <t>Sân bóng né 1–2</t>
  </si>
  <si>
    <t>Lấy kết quả Lượt 1 làm dữ liệu xếp hạng vòng bảng — chỉ 2 sân nên mỗi sân gánh 2 bảng xen kẽ</t>
  </si>
  <si>
    <t>Timer 10 phút/sân; từ phút thứ 7, TNV xác nhận các đội của Lượt 2 đã có mặt tại khu chờ đúng sân</t>
  </si>
  <si>
    <t>Bóng né vòng bảng — Lượt 2 (2 trận song song). Sân 1: Bảng B (vòng 1) — Sân 2: Bảng D (vòng 1)</t>
  </si>
  <si>
    <t>Lấy kết quả Lượt 2 làm dữ liệu xếp hạng vòng bảng — chỉ 2 sân nên mỗi sân gánh 2 bảng xen kẽ</t>
  </si>
  <si>
    <t>Timer 10 phút/sân; từ phút thứ 7, TNV xác nhận các đội của Lượt 3 đã có mặt tại khu chờ đúng sân</t>
  </si>
  <si>
    <t>Bóng né vòng bảng — Lượt 3 (2 trận song song). Sân 1: Bảng A (vòng 2) — Sân 2: Bảng C (vòng 2)</t>
  </si>
  <si>
    <t>Lấy kết quả Lượt 3 làm dữ liệu xếp hạng vòng bảng — chỉ 2 sân nên mỗi sân gánh 2 bảng xen kẽ</t>
  </si>
  <si>
    <t>Timer 10 phút/sân; từ phút thứ 7, TNV xác nhận các đội của Lượt 4 đã có mặt tại khu chờ đúng sân</t>
  </si>
  <si>
    <t>Bóng né vòng bảng — Lượt 4 (2 trận song song). Sân 1: Bảng B (vòng 2) — Sân 2: Bảng D (vòng 2)</t>
  </si>
  <si>
    <t>Lấy kết quả Lượt 4 làm dữ liệu xếp hạng vòng bảng — chỉ 2 sân nên mỗi sân gánh 2 bảng xen kẽ</t>
  </si>
  <si>
    <t>Timer 10 phút/sân; từ phút thứ 7, TNV xác nhận các đội của Lượt 5 đã có mặt tại khu chờ đúng sân</t>
  </si>
  <si>
    <t>Bóng né vòng bảng — Lượt 5 (2 trận song song). Sân 1: Bảng A (vòng 3) — Sân 2: Bảng C (vòng 3)</t>
  </si>
  <si>
    <t>Lấy kết quả Lượt 5 làm dữ liệu xếp hạng vòng bảng — chỉ 2 sân nên mỗi sân gánh 2 bảng xen kẽ</t>
  </si>
  <si>
    <t>Timer 10 phút/sân; từ phút thứ 7, TNV xác nhận các đội của Lượt 6 đã có mặt tại khu chờ đúng sân</t>
  </si>
  <si>
    <t>Bóng né vòng bảng — Lượt 6 (2 trận song song). Sân 1: Bảng B (vòng 3) — Sân 2: Bảng D (vòng 3)</t>
  </si>
  <si>
    <t>Hoàn tất đủ 12 trận vòng bảng Bóng né trước khi sang Kéo co</t>
  </si>
  <si>
    <t>Timer 10 phút/sân; từ phút thứ 7, TNV thông báo và bắt đầu dẫn 12 đội di chuyển dần sang khu kéo co ngay khi kết thúc trận của đội mình</t>
  </si>
  <si>
    <t>TNV hậu cần + toàn bộ 12 đội</t>
  </si>
  <si>
    <t>Di chuyển sang khu vực kéo co, phát nước</t>
  </si>
  <si>
    <t>Từ khu bóng né sang khu kéo co</t>
  </si>
  <si>
    <t>Đảm bảo chuyển tiếp mượt giữa 2 môn, không dồn toa</t>
  </si>
  <si>
    <t>TNV hướng dẫn theo màu đội; dây kéo co đã dựng sẵn trước; từ phút thứ 7, xác nhận các đội của Lượt 1 Kéo co đã vào vị trí cầm dây</t>
  </si>
  <si>
    <t>3 trọng tài chính (Dây 1–3) + 3 time-keeper + 3 TNV gọi đội</t>
  </si>
  <si>
    <t>Kéo co vòng bảng — Lượt 1 (3 trận song song). Dây 1: Bảng A (vòng 1) — Dây 2: Bảng B (vòng 1) — Dây 3: Bảng C (vòng 1)</t>
  </si>
  <si>
    <t>Khu kéo co — Dây 1–3</t>
  </si>
  <si>
    <t>Lấy kết quả Lượt 1 làm dữ liệu xếp hạng vòng bảng — trận đấu xoay vòng qua 3 dây để không dây nào rảnh sớm hoặc gánh nặng hơn</t>
  </si>
  <si>
    <t>Timer 10 phút/dây, áp dụng luật dừng cứng khi hết giờ; từ phút thứ 7, TNV xác nhận các đội của Lượt 2 đã có mặt tại vị trí chờ</t>
  </si>
  <si>
    <t>Kéo co vòng bảng — Lượt 2 (3 trận song song). Dây 1: Bảng D (vòng 1) — Dây 2: Bảng A (vòng 2) — Dây 3: Bảng B (vòng 2)</t>
  </si>
  <si>
    <t>Lấy kết quả Lượt 2 làm dữ liệu xếp hạng vòng bảng — trận đấu xoay vòng qua 3 dây để không dây nào rảnh sớm hoặc gánh nặng hơn</t>
  </si>
  <si>
    <t>Timer 10 phút/dây, áp dụng luật dừng cứng khi hết giờ; từ phút thứ 7, TNV xác nhận các đội của Lượt 3 đã có mặt tại vị trí chờ</t>
  </si>
  <si>
    <t>Kéo co vòng bảng — Lượt 3 (3 trận song song). Dây 1: Bảng C (vòng 2) — Dây 2: Bảng D (vòng 2) — Dây 3: Bảng A (vòng 3)</t>
  </si>
  <si>
    <t>Lấy kết quả Lượt 3 làm dữ liệu xếp hạng vòng bảng — trận đấu xoay vòng qua 3 dây để không dây nào rảnh sớm hoặc gánh nặng hơn</t>
  </si>
  <si>
    <t>Timer 10 phút/dây, áp dụng luật dừng cứng khi hết giờ; từ phút thứ 7, TNV xác nhận các đội của Lượt 4 đã có mặt tại vị trí chờ</t>
  </si>
  <si>
    <t>Kéo co vòng bảng — Lượt 4 (3 trận song song). Dây 1: Bảng B (vòng 3) — Dây 2: Bảng C (vòng 3) — Dây 3: Bảng D (vòng 3)</t>
  </si>
  <si>
    <t>Hoàn tất đủ 12 trận vòng bảng Kéo co — kết thúc TOÀN BỘ vòng bảng của cả 2 môn</t>
  </si>
  <si>
    <t>Timer 10 phút/dây; từ phút thứ 7, TNV thông báo nghỉ giải lao ngắn tại chỗ, chờ BTC tổng hợp kết quả vòng bảng</t>
  </si>
  <si>
    <t>Ban thư ký (2 người) + BTC hậu cần</t>
  </si>
  <si>
    <t>Tổng hợp kết quả vòng bảng cả 2 môn, chốt danh sách đội vào bán kết</t>
  </si>
  <si>
    <t>Bàn điều hành / Ban thư ký</t>
  </si>
  <si>
    <t>Đảm bảo đúng đội — đúng bảng đấu vào bán kết trước khi công bố, tránh nhầm lẫn khi đã đấu xong toàn bộ vòng bảng</t>
  </si>
  <si>
    <t>Nhập nốt kết quả lượt cuối vào 'Nhập kết quả'; xem tự động tại 'Tổng kết' mục 1; MC giữ nhịp bằng giao lưu/minigame khán giả trong lúc chờ</t>
  </si>
  <si>
    <t>2 trọng tài (Sân 1–2) + 2 time-keeper + 2 TNV gọi đội</t>
  </si>
  <si>
    <t>Bóng né — Bán kết (BK1: Nhất bảng A vs Nhất bảng B; BK2: Nhất bảng C vs Nhất bảng D)</t>
  </si>
  <si>
    <t>Xác định 2 đội vào chung kết Bóng né — dùng đúng 2 sân hiện có, không dư không thiếu</t>
  </si>
  <si>
    <t>Timer 10 phút/sân; từ phút thứ 7, TNV xác nhận 4 đội Bán kết Kéo co đã có mặt tại khu kéo co để chạy nối tiếp ngay sau đó</t>
  </si>
  <si>
    <t>2 trọng tài (Dây 1–2) + 2 time-keeper + 2 TNV gọi đội</t>
  </si>
  <si>
    <t>Kéo co — Bán kết (BK1: Nhất bảng A vs Nhất bảng B; BK2: Nhất bảng C vs Nhất bảng D)</t>
  </si>
  <si>
    <t>Khu kéo co — Dây 1–2 (Dây 3 để trống)</t>
  </si>
  <si>
    <t>Xác định 2 đội vào chung kết Kéo co</t>
  </si>
  <si>
    <t>Timer 10 phút/dây; từ phút thứ 7, TNV thông báo nghỉ ngắn tại chỗ chờ BTC tổng hợp kết quả bán kết cả 2 môn</t>
  </si>
  <si>
    <t>Ban thư ký + BTC hậu cần</t>
  </si>
  <si>
    <t>Tổng hợp kết quả bán kết cả 2 môn, chốt danh sách đội vào chung kết</t>
  </si>
  <si>
    <t>Đảm bảo đúng đội vào chung kết trước khi công bố</t>
  </si>
  <si>
    <t>Nhập vào 'Nhập kết quả'; xem tự động tại 'Tổng kết' mục 3; MC hâm nóng không khí, mời khán giả tập trung quanh sân trung tâm</t>
  </si>
  <si>
    <t>1 trọng tài chính + 1 time-keeper + toàn bộ TNV hỗ trợ khán giả</t>
  </si>
  <si>
    <t>Chung kết Bóng né</t>
  </si>
  <si>
    <t>Sân bóng né 1 (sân trung tâm)</t>
  </si>
  <si>
    <t>Xác định đội vô địch Bóng né</t>
  </si>
  <si>
    <t>Timer 10 phút; MC tường thuật trực tiếp tạo không khí; từ phút thứ 7, TNV xác nhận 2 đội Chung kết Kéo co đã có mặt sẵn sàng</t>
  </si>
  <si>
    <t>Chung kết Kéo co</t>
  </si>
  <si>
    <t>Khu kéo co — Dây 1 (khu trung tâm)</t>
  </si>
  <si>
    <t>Xác định đội vô địch Kéo co</t>
  </si>
  <si>
    <t>Timer 10 phút; MC tường thuật trực tiếp, khuấy động khán giả 2 bên</t>
  </si>
  <si>
    <t>Ban thư ký + Ban hậu cần khen thưởng</t>
  </si>
  <si>
    <t>Chốt kết quả vô địch 2 môn; CHUẨN BỊ BẰNG KHEN, CÚP, PHẦN THƯỞNG đúng thứ tự Nhất – Nhì – Ba của từng môn</t>
  </si>
  <si>
    <t>Bàn điều hành + khu hậu cần trao giải (cạnh sân khấu)</t>
  </si>
  <si>
    <t>Tránh lúng túng, gọi nhầm tên hoặc thiếu/lộn phần thưởng khi trao giải trên sân khấu</t>
  </si>
  <si>
    <t>Thư ký chốt danh sách xếp hạng cuối cùng từ 'Tổng kết'; hậu cần xếp bằng khen/cúp theo đúng thứ tự MC sẽ xướng tên; kiểm đếm đủ số lượng trước khi mang lên sân khấu</t>
  </si>
  <si>
    <t>MC + Ban giám khảo + đại diện công ty</t>
  </si>
  <si>
    <t>Trao giải Vô địch Bóng né, Vô địch Kéo co + chụp ảnh lưu niệm</t>
  </si>
  <si>
    <t>Vinh danh các đội, tạo dấu ấn kết thúc chương trình</t>
  </si>
  <si>
    <t>MC xướng tên đúng thứ tự đã chuẩn bị ở bước trước; trao cúp/bằng khen từng đội; chụp ảnh toàn đoàn</t>
  </si>
  <si>
    <t>Toàn bộ BTC</t>
  </si>
  <si>
    <t>Dự phòng xử lý phát sinh (trễ giờ, thời tiết, sự cố kỹ thuật)</t>
  </si>
  <si>
    <t>Toàn khu vực</t>
  </si>
  <si>
    <t>Hấp thụ rủi ro trễ giờ tích lũy trong suốt chương trình</t>
  </si>
  <si>
    <t>Chỉ dùng khi có phát sinh</t>
  </si>
  <si>
    <t>LỊCH THI ĐẤU — BÓNG NÉ &amp; KÉO CO</t>
  </si>
  <si>
    <t>Chỉ có 2 sân bóng né + 3 dây kéo co (&lt; 4 bảng) → vòng bảng chạy theo lịch xoay vòng. Đấu hết vòng bảng CẢ 2 MÔN rồi mới sang Bán kết + Chung kết CẢ 2 MÔN — 15 trận/môn</t>
  </si>
  <si>
    <t>Danh sách đội theo bảng (chỉnh sửa tên đội tại đây — lịch thi đấu bên dưới sẽ tự cập nhật)</t>
  </si>
  <si>
    <t>Bảng</t>
  </si>
  <si>
    <t>Vị trí 1</t>
  </si>
  <si>
    <t>Vị trí 2</t>
  </si>
  <si>
    <t>Vị trí 3</t>
  </si>
  <si>
    <t>Bảng A</t>
  </si>
  <si>
    <t>Đội 10</t>
  </si>
  <si>
    <t>Đội 4</t>
  </si>
  <si>
    <t>Đội 5</t>
  </si>
  <si>
    <t>Bảng B</t>
  </si>
  <si>
    <t>Đội 12</t>
  </si>
  <si>
    <t>Đội 1</t>
  </si>
  <si>
    <t>Đội 2</t>
  </si>
  <si>
    <t>Bảng C</t>
  </si>
  <si>
    <t>Đội 9</t>
  </si>
  <si>
    <t>Đội 3</t>
  </si>
  <si>
    <t>Đội 8</t>
  </si>
  <si>
    <t>Bảng D</t>
  </si>
  <si>
    <t>Đội 6</t>
  </si>
  <si>
    <t>Đội 7</t>
  </si>
  <si>
    <t>Đội 11</t>
  </si>
  <si>
    <t>Cột G (Lượt) màu xanh — sửa số này khi đổi số sân/dây, giờ sẽ tự tính lại</t>
  </si>
  <si>
    <t>Môn</t>
  </si>
  <si>
    <t>Giai đoạn</t>
  </si>
  <si>
    <t>Sân/Dây</t>
  </si>
  <si>
    <t>Lượt</t>
  </si>
  <si>
    <t>Giờ bắt đầu</t>
  </si>
  <si>
    <t>Giờ kết thúc</t>
  </si>
  <si>
    <t>Bóng né</t>
  </si>
  <si>
    <t>Vòng bảng — Bảng A (vòng 1)</t>
  </si>
  <si>
    <t>Sân 1</t>
  </si>
  <si>
    <t>Vòng bảng — Bảng C (vòng 1)</t>
  </si>
  <si>
    <t>Sân 2</t>
  </si>
  <si>
    <t>Vòng bảng — Bảng B (vòng 1)</t>
  </si>
  <si>
    <t>Vòng bảng — Bảng D (vòng 1)</t>
  </si>
  <si>
    <t>Vòng bảng — Bảng A (vòng 2)</t>
  </si>
  <si>
    <t>Vòng bảng — Bảng C (vòng 2)</t>
  </si>
  <si>
    <t>Vòng bảng — Bảng B (vòng 2)</t>
  </si>
  <si>
    <t>Vòng bảng — Bảng D (vòng 2)</t>
  </si>
  <si>
    <t>Vòng bảng — Bảng A (vòng 3)</t>
  </si>
  <si>
    <t>Vòng bảng — Bảng C (vòng 3)</t>
  </si>
  <si>
    <t>Vòng bảng — Bảng B (vòng 3)</t>
  </si>
  <si>
    <t>Vòng bảng — Bảng D (vòng 3)</t>
  </si>
  <si>
    <t>Kéo co</t>
  </si>
  <si>
    <t>Dây 1</t>
  </si>
  <si>
    <t>Dây 2</t>
  </si>
  <si>
    <t>Dây 3</t>
  </si>
  <si>
    <t>Bán kết 1</t>
  </si>
  <si>
    <t>—</t>
  </si>
  <si>
    <t>Bán kết 2</t>
  </si>
  <si>
    <t>Chung kết</t>
  </si>
  <si>
    <t>NHẬP KẾT QUẢ THI ĐẤU</t>
  </si>
  <si>
    <t>Bóng né: nhập số người còn lại mỗi đội khi hết giờ  |  Kéo co: nhập số hiệp thắng mỗi đội (thắng 2/3).</t>
  </si>
  <si>
    <t>Nếu Nữ hoàng bị hạ hoặc đội phạm luật xử thua ngay: KHÔNG cần nhập chỉ số — chỉ cần chọn đội thắng ở cột "Thắng trực tiếp" (dropdown), cột Đội thắng/Đội thua sẽ tự lấy theo lựa chọn này.</t>
  </si>
  <si>
    <t>Chỉ số
Đội 1</t>
  </si>
  <si>
    <t>Chỉ số
Đội 2</t>
  </si>
  <si>
    <t>Thắng trực tiếp
(Nữ hoàng bị hạ / phạm luật)</t>
  </si>
  <si>
    <t>Đội thắng</t>
  </si>
  <si>
    <t>Đội thua</t>
  </si>
  <si>
    <t>Ghi chú</t>
  </si>
  <si>
    <t>CHI TIẾT GHI BÀN — BÓNG NÉ (dùng để xét giải Cầu thủ xuất sắc nhất)</t>
  </si>
  <si>
    <t>Mỗi dòng = 1 người ghi bàn. Một trận có bao nhiêu người ghi bàn thì thêm bấy nhiêu dòng cùng "Trận" — không giới hạn số dòng/trận.</t>
  </si>
  <si>
    <t>Trận (Giai đoạn)</t>
  </si>
  <si>
    <t>Đội</t>
  </si>
  <si>
    <t>Tên cầu thủ</t>
  </si>
  <si>
    <t>Số bàn</t>
  </si>
  <si>
    <t>Mã tên
(phụ trợ)</t>
  </si>
  <si>
    <t>TỔNG KẾT — BẢNG XẾP HẠNG</t>
  </si>
  <si>
    <t>Tự động tính từ sheet 'Nhập kết quả' — Vòng bảng: Thắng 30 – Hòa 10 – Thua 0 điểm (theo luật chính thức)</t>
  </si>
  <si>
    <t>1. Xếp hạng vòng bảng theo từng môn</t>
  </si>
  <si>
    <t>Trận</t>
  </si>
  <si>
    <t>Thắng</t>
  </si>
  <si>
    <t>Hòa</t>
  </si>
  <si>
    <t>Thua</t>
  </si>
  <si>
    <t>Điểm</t>
  </si>
  <si>
    <t>Hạng trong bảng</t>
  </si>
  <si>
    <t>2. Vòng loại trực tiếp &amp; Vô địch mỗi môn</t>
  </si>
  <si>
    <t>VÔ ĐỊCH BÓNG NÉ:</t>
  </si>
  <si>
    <t>VÔ ĐỊCH KÉO CO:</t>
  </si>
  <si>
    <t>KỊCH BẢN VẬN HÀNH CHI TIẾT — HỘI THAO</t>
  </si>
  <si>
    <t>Bắt đầu/Kết thúc lấy tự động từ sheet 'Timeline (5W1H)' — đổi giờ Bóng né ở đó, bảng này tự cập nhật theo</t>
  </si>
  <si>
    <t>Tiết mục</t>
  </si>
  <si>
    <t>Công việc chi tiết</t>
  </si>
  <si>
    <t>MC</t>
  </si>
  <si>
    <t>Trọng tài</t>
  </si>
  <si>
    <t>Thư ký ghi kết quả</t>
  </si>
  <si>
    <t>Người hỗ trợ (TNV)</t>
  </si>
  <si>
    <t>Ghi chú / thiết bị</t>
  </si>
  <si>
    <t>Khai mạc</t>
  </si>
  <si>
    <t>Khai mạc chớp nhoáng, phổ biến luật 2 môn</t>
  </si>
  <si>
    <t>Dẫn dắt khai mạc, phổ biến luật; phát tờ luật in sẵn cho 12 đội trưởng</t>
  </si>
  <si>
    <t>5 trọng tài (2 sân Bóng né + 3 dây Kéo co) tập trung nhận sơ đồ vị trí, đồng bộ đồng hồ</t>
  </si>
  <si>
    <t>Chuẩn bị file 'Nhập kết quả', kiểm tra máy tính/kết nối mạng</t>
  </si>
  <si>
    <t>Từ phút thứ 7, đưa các đội của Lượt 1 Bóng né vào đúng sân</t>
  </si>
  <si>
    <t>Loa tay từng sân/dây, đồng hồ đếm ngược, tờ luật in sẵn</t>
  </si>
  <si>
    <t>Bóng né — Lượt 1</t>
  </si>
  <si>
    <t>Vòng bảng Lượt 1, 2 trận song song:
Sân 1 (Bảng A): Đội 10 (KV Yên Nghĩa/Văn Quán 2-3)  vs  Đội 4 (KV Đặng Thùy Trâm/Phạm Tuấn Tài 3/Láng Hạ/Mê Linh)
Sân 2 (Bảng C): Đội 9 (KV Thanh Trì/Trần Đại Nghĩa 2/Lê Duẩn HP/Lạch Tray HP)  vs  Đội 3 (Trụ sở – Khối TNKH &amp; Truyền thông Marketing)</t>
  </si>
  <si>
    <t>Giới thiệu nhanh cặp đấu từng sân qua loa</t>
  </si>
  <si>
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</si>
  <si>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Nhận kết quả từ 2 trọng tài, nhập ngay vào 'Nhập kết quả'</t>
  </si>
  <si>
    <t>Từ phút thứ 7, xác nhận các đội của Lượt 2 đã có mặt tại khu chờ đúng sân</t>
  </si>
  <si>
    <t>Bóng né — Lượt 2</t>
  </si>
  <si>
    <t>Vòng bảng Lượt 2, 2 trận song song:
Sân 1 (Bảng B): Đội 12 (KV Gia Lâm/Giải Phóng/Lê Thanh Nghị 2)  vs  Đội 1 (Trụ sở – Khối Sản xuất - Vận hành)
Sân 2 (Bảng D): Đội 6 (KV Nguyễn Khuyến 1/Quang Trung/Văn Phú)  vs  Đội 7 (KV Văn Quán 1/Nguyễn Khuyến/Lê Thanh Nghị HD)</t>
  </si>
  <si>
    <t>Từ phút thứ 7, xác nhận các đội của Lượt 3 đã có mặt tại khu chờ đúng sân</t>
  </si>
  <si>
    <t>Bóng né — Lượt 3</t>
  </si>
  <si>
    <t>Vòng bảng Lượt 3, 2 trận song song:
Sân 1 (Bảng A): Đội 10 (KV Yên Nghĩa/Văn Quán 2-3)  vs  Đội 5 (KV Trần Quốc Vượng/Xuân Thủy/Hoàng Quốc Việt/Bắc Từ Liêm)
Sân 2 (Bảng C): Đội 9 (KV Thanh Trì/Trần Đại Nghĩa 2/Lê Duẩn HP/Lạch Tray HP)  vs  Đội 8 (KV Thái Hà/Xuân Quỳnh/Tam Khương...)</t>
  </si>
  <si>
    <t>Từ phút thứ 7, xác nhận các đội của Lượt 4 đã có mặt tại khu chờ đúng sân</t>
  </si>
  <si>
    <t>Bóng né — Lượt 4</t>
  </si>
  <si>
    <t>Vòng bảng Lượt 4, 2 trận song song:
Sân 1 (Bảng B): Đội 12 (KV Gia Lâm/Giải Phóng/Lê Thanh Nghị 2)  vs  Đội 2 (Trụ sở – Khối Quản trị)
Sân 2 (Bảng D): Đội 6 (KV Nguyễn Khuyến 1/Quang Trung/Văn Phú)  vs  Đội 11 (KV Phùng Khoang/Bắc Sơn/MonBay/Hoàng Diệu/Phong Châu)</t>
  </si>
  <si>
    <t>Từ phút thứ 7, xác nhận các đội của Lượt 5 đã có mặt tại khu chờ đúng sân</t>
  </si>
  <si>
    <t>Bóng né — Lượt 5</t>
  </si>
  <si>
    <t>Vòng bảng Lượt 5, 2 trận song song:
Sân 1 (Bảng A): Đội 4 (KV Đặng Thùy Trâm/Phạm Tuấn Tài 3/Láng Hạ/Mê Linh)  vs  Đội 5 (KV Trần Quốc Vượng/Xuân Thủy/Hoàng Quốc Việt/Bắc Từ Liêm)
Sân 2 (Bảng C): Đội 3 (Trụ sở – Khối TNKH &amp; Truyền thông Marketing)  vs  Đội 8 (KV Thái Hà/Xuân Quỳnh/Tam Khương...)</t>
  </si>
  <si>
    <t>Từ phút thứ 7, xác nhận các đội của Lượt 6 đã có mặt tại khu chờ đúng sân</t>
  </si>
  <si>
    <t>Bóng né — Lượt 6</t>
  </si>
  <si>
    <t>Vòng bảng Lượt 6, 2 trận song song:
Sân 1 (Bảng B): Đội 1 (Trụ sở – Khối Sản xuất - Vận hành)  vs  Đội 2 (Trụ sở – Khối Quản trị)
Sân 2 (Bảng D): Đội 7 (KV Văn Quán 1/Nguyễn Khuyến/Lê Thanh Nghị HD)  vs  Đội 11 (KV Phùng Khoang/Bắc Sơn/MonBay/Hoàng Diệu/Phong Châu)</t>
  </si>
  <si>
    <t>Thông báo kết thúc vòng bảng Bóng né, mời di chuyển</t>
  </si>
  <si>
    <t>Từ phút thứ 7, dẫn 12 đội di chuyển dần sang khu kéo co</t>
  </si>
  <si>
    <t>Chuyển khu vực</t>
  </si>
  <si>
    <t>Di chuyển sang khu kéo co, phát nước</t>
  </si>
  <si>
    <t>Giữ nhịp bằng nhạc nền, thông báo di chuyển</t>
  </si>
  <si>
    <t>Di chuyển sang vị trí Dây 1–3, kiểm tra dây kéo co</t>
  </si>
  <si>
    <t>Rà soát lại đã nhập đủ 12 trận vòng bảng Bóng né</t>
  </si>
  <si>
    <t>Hướng dẫn theo màu đội; xác nhận đội Lượt 1 Kéo co vào vị trí</t>
  </si>
  <si>
    <t>Dây kéo co dựng sẵn trước giờ</t>
  </si>
  <si>
    <t>Kéo co — Lượt 1</t>
  </si>
  <si>
    <t>Vòng bảng Lượt 1, 3 trận song song. Dây 1: Bảng A (vòng 1) — Dây 2: Bảng B (vòng 1) — Dây 3: Bảng C (vòng 1)</t>
  </si>
  <si>
    <t>Giới thiệu nhanh cặp đấu từng dây qua loa</t>
  </si>
  <si>
    <t>3 trọng tài chính bấm giờ 10 phút/dây, áp dụng luật dừng cứng khi hết giờ</t>
  </si>
  <si>
    <t>Nhận kết quả từ 3 trọng tài, nhập ngay vào 'Nhập kết quả'</t>
  </si>
  <si>
    <t>Từ phút thứ 7, xác nhận các đội của Lượt 2 đã có mặt tại vị trí chờ</t>
  </si>
  <si>
    <t>Kéo co — Lượt 2</t>
  </si>
  <si>
    <t>Vòng bảng Lượt 2, 3 trận song song. Dây 1: Bảng D (vòng 1) — Dây 2: Bảng A (vòng 2) — Dây 3: Bảng B (vòng 2)</t>
  </si>
  <si>
    <t>Từ phút thứ 7, xác nhận các đội của Lượt 3 đã có mặt tại vị trí chờ</t>
  </si>
  <si>
    <t>Kéo co — Lượt 3</t>
  </si>
  <si>
    <t>Vòng bảng Lượt 3, 3 trận song song. Dây 1: Bảng C (vòng 2) — Dây 2: Bảng D (vòng 2) — Dây 3: Bảng A (vòng 3)</t>
  </si>
  <si>
    <t>Từ phút thứ 7, xác nhận các đội của Lượt 4 đã có mặt tại vị trí chờ</t>
  </si>
  <si>
    <t>Kéo co — Lượt 4</t>
  </si>
  <si>
    <t>Vòng bảng Lượt 4, 3 trận song song. Dây 1: Bảng B (vòng 3) — Dây 2: Bảng C (vòng 3) — Dây 3: Bảng D (vòng 3)</t>
  </si>
  <si>
    <t>Thông báo kết thúc vòng bảng, mời nghỉ ngắn</t>
  </si>
  <si>
    <t>Thông báo nghỉ giải lao ngắn tại chỗ, chờ tổng hợp</t>
  </si>
  <si>
    <t>Tổng hợp vòng bảng</t>
  </si>
  <si>
    <t>Chốt bảng xếp hạng vòng bảng cả 2 môn, xác định đội vào bán kết</t>
  </si>
  <si>
    <t>Giao lưu / minigame khán giả giữ nhịp trong lúc chờ</t>
  </si>
  <si>
    <t>Nghỉ ngắn, di chuyển vào vị trí Sân 1–2 / Dây 1–2 (bán kết)</t>
  </si>
  <si>
    <t>Nhập nốt kết quả lượt cuối; xem tự động sheet 'Tổng kết' mục 1, xác nhận danh sách bán kết</t>
  </si>
  <si>
    <t>Chuẩn bị nước, khăn cho các đội nghỉ giải lao</t>
  </si>
  <si>
    <t>Bóng né — Bán kết</t>
  </si>
  <si>
    <t>BK1: Nhất bảng A vs Nhất bảng B; BK2: Nhất bảng C vs Nhất bảng D</t>
  </si>
  <si>
    <t>Tường thuật trực tiếp, tạo không khí</t>
  </si>
  <si>
    <t>2 trọng tài (Sân 1–2) bấm giờ 10 phút, xử lý tình huống.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</si>
  <si>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Nhập kết quả bán kết ngay khi kết thúc</t>
  </si>
  <si>
    <t>Từ phút thứ 7, xác nhận đội bán kết Kéo co đã có mặt tại khu kéo co</t>
  </si>
  <si>
    <t>Kéo co — Bán kết</t>
  </si>
  <si>
    <t>Tường thuật trực tiếp</t>
  </si>
  <si>
    <t>2 trọng tài (Dây 1–2) bấm giờ 10 phút</t>
  </si>
  <si>
    <t>Thông báo nghỉ ngắn tại chỗ, chờ tổng hợp kết quả bán kết</t>
  </si>
  <si>
    <t>Tổng hợp bán kết</t>
  </si>
  <si>
    <t>Chốt kết quả bán kết cả 2 môn, xác định đội vào chung kết</t>
  </si>
  <si>
    <t>Hâm nóng không khí, mời khán giả tập trung quanh sân trung tâm</t>
  </si>
  <si>
    <t>Di chuyển về Sân 1 / Dây 1 (vị trí chung kết)</t>
  </si>
  <si>
    <t>Xem tự động sheet 'Tổng kết' mục 3, xác nhận danh sách chung kết</t>
  </si>
  <si>
    <t>Ổn định khán giả quanh khu vực sân trung tâm</t>
  </si>
  <si>
    <t>Bóng né — Chung kết</t>
  </si>
  <si>
    <t>Tường thuật trực tiếp cao trào</t>
  </si>
  <si>
    <t>1 trọng tài chính Sân 1 bấm giờ 10 phút.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</si>
  <si>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Nhập kết quả chung kết Bóng né ngay khi kết thúc</t>
  </si>
  <si>
    <t>Từ phút thứ 7, xác nhận đội chung kết Kéo co đã sẵn sàng</t>
  </si>
  <si>
    <t>Kéo co — Chung kết</t>
  </si>
  <si>
    <t>Tường thuật trực tiếp, khuấy động khán giả 2 bên</t>
  </si>
  <si>
    <t>1 trọng tài chính Dây 1 bấm giờ 10 phút</t>
  </si>
  <si>
    <t>Nhập kết quả chung kết Kéo co</t>
  </si>
  <si>
    <t>Hỗ trợ khán giả, giữ trật tự quanh khu vực dây</t>
  </si>
  <si>
    <t>Tổng hợp &amp; chuẩn bị khen thưởng</t>
  </si>
  <si>
    <t>Chốt vô địch 2 môn; chuẩn bị bằng khen, cúp, phần thưởng đúng thứ tự</t>
  </si>
  <si>
    <t>Nhận danh sách xếp hạng cuối từ thư ký, chuẩn bị kịch bản xướng tên</t>
  </si>
  <si>
    <t>Bàn giao biên bản trận đấu cho BTC</t>
  </si>
  <si>
    <t>Chốt danh sách từ sheet 'Tổng kết', bàn giao cho bộ phận khen thưởng</t>
  </si>
  <si>
    <t>Xếp bằng khen/cúp đúng thứ tự MC sẽ xướng tên, kiểm đếm đủ số lượng</t>
  </si>
  <si>
    <t>Bằng khen, cúp, phần thưởng</t>
  </si>
  <si>
    <t>Trao giải</t>
  </si>
  <si>
    <t>Xướng tên đúng thứ tự đã chuẩn bị, dẫn dắt lễ trao giải</t>
  </si>
  <si>
    <t>Hỗ trợ chung, đứng dự phòng</t>
  </si>
  <si>
    <t>Lưu trữ toàn bộ biên bản, xuất file kết quả cuối cùng</t>
  </si>
  <si>
    <t>Hỗ trợ đội lên sân khấu, hỗ trợ chụp ảnh</t>
  </si>
  <si>
    <t>Dự phòng</t>
  </si>
  <si>
    <t>Xử lý phát sinh (trễ giờ, thời tiết, sự cố kỹ thuật)</t>
  </si>
  <si>
    <t>Chờ lệnh BTC</t>
  </si>
  <si>
    <t>KỊCH BẢN THAY THẾ — 4 SÂN BÓNG NÉ (1 LƯỢT = 4 TRẬN SONG SONG)</t>
  </si>
  <si>
    <t>Phương án dự phòng nếu venue bố trí được 4 sân bóng né thay vì 2 sân. Vòng bảng Bóng né chỉ còn 3 lượt (thay vì 6) — toàn chương trình rút ngắn ~15 phút so với bản 2 sân. Kéo co giữ nguyên 3 dây như bản chính.</t>
  </si>
  <si>
    <t>Sheet này ĐỘC LẬP với hệ thống chính (không liên kết Lịch thi đấu/Nhập kết quả) — chỉ dùng để tham khảo/in kịch bản nếu chọn phương án 4 sân. Đổi giờ neo Bóng né ở ô B7 bên dưới nếu cần.</t>
  </si>
  <si>
    <t>9 trọng tài (4 sân Bóng né + 3 dây Kéo co, dư 2 dự phòng) tập trung nhận sơ đồ vị trí, đồng bộ đồng hồ</t>
  </si>
  <si>
    <t>Chuẩn bị file kết quả, kiểm tra máy tính/kết nối mạng</t>
  </si>
  <si>
    <t>Vòng bảng Lượt 1, 4 trận song song:
Sân 1 (Bảng A): Đội 10 (KV Yên Nghĩa/Văn Quán 2-3)  vs  Đội 4 (KV Đặng Thùy Trâm/Phạm Tuấn Tài 3/Láng Hạ/Mê Linh)
Sân 2 (Bảng B): Đội 12 (KV Gia Lâm/Giải Phóng/Lê Thanh Nghị 2)  vs  Đội 1 (Trụ sở – Khối Sản xuất - Vận hành)
Sân 3 (Bảng C): Đội 9 (KV Thanh Trì/Trần Đại Nghĩa 2/Lê Duẩn HP/Lạch Tray HP)  vs  Đội 3 (Trụ sở – Khối TNKH &amp; Truyền thông Marketing)
Sân 4 (Bảng D): Đội 6 (KV Nguyễn Khuyến 1/Quang Trung/Văn Phú)  vs  Đội 7 (KV Văn Quán 1/Nguyễn Khuyến/Lê Thanh Nghị HD)</t>
  </si>
  <si>
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</si>
  <si>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Nhận kết quả từ 4 trọng tài, nhập ngay</t>
  </si>
  <si>
    <t>Vòng bảng Lượt 2, 4 trận song song:
Sân 1 (Bảng A): Đội 10 (KV Yên Nghĩa/Văn Quán 2-3)  vs  Đội 5 (KV Trần Quốc Vượng/Xuân Thủy/Hoàng Quốc Việt/Bắc Từ Liêm)
Sân 2 (Bảng B): Đội 12 (KV Gia Lâm/Giải Phóng/Lê Thanh Nghị 2)  vs  Đội 2 (Trụ sở – Khối Quản trị)
Sân 3 (Bảng C): Đội 9 (KV Thanh Trì/Trần Đại Nghĩa 2/Lê Duẩn HP/Lạch Tray HP)  vs  Đội 8 (KV Thái Hà/Xuân Quỳnh/Tam Khương...)
Sân 4 (Bảng D): Đội 6 (KV Nguyễn Khuyến 1/Quang Trung/Văn Phú)  vs  Đội 11 (KV Phùng Khoang/Bắc Sơn/MonBay/Hoàng Diệu/Phong Châu)</t>
  </si>
  <si>
    <t>Vòng bảng Lượt 3, 4 trận song song:
Sân 1 (Bảng A): Đội 4 (KV Đặng Thùy Trâm/Phạm Tuấn Tài 3/Láng Hạ/Mê Linh)  vs  Đội 5 (KV Trần Quốc Vượng/Xuân Thủy/Hoàng Quốc Việt/Bắc Từ Liêm)
Sân 2 (Bảng B): Đội 1 (Trụ sở – Khối Sản xuất - Vận hành)  vs  Đội 2 (Trụ sở – Khối Quản trị)
Sân 3 (Bảng C): Đội 3 (Trụ sở – Khối TNKH &amp; Truyền thông Marketing)  vs  Đội 8 (KV Thái Hà/Xuân Quỳnh/Tam Khương...)
Sân 4 (Bảng D): Đội 7 (KV Văn Quán 1/Nguyễn Khuyến/Lê Thanh Nghị HD)  vs  Đội 11 (KV Phùng Khoang/Bắc Sơn/MonBay/Hoàng Diệu/Phong Châu)</t>
  </si>
  <si>
    <t>Vòng bảng Lượt 1, 3 trận song song:
Dây 1 (Bảng A): Đội 10 (KV Yên Nghĩa/Văn Quán 2-3)  vs  Đội 4 (KV Đặng Thùy Trâm/Phạm Tuấn Tài 3/Láng Hạ/Mê Linh)
Dây 2 (Bảng B): Đội 12 (KV Gia Lâm/Giải Phóng/Lê Thanh Nghị 2)  vs  Đội 1 (Trụ sở – Khối Sản xuất - Vận hành)
Dây 3 (Bảng C): Đội 9 (KV Thanh Trì/Trần Đại Nghĩa 2/Lê Duẩn HP/Lạch Tray HP)  vs  Đội 3 (Trụ sở – Khối TNKH &amp; Truyền thông Marketing)</t>
  </si>
  <si>
    <t>Nhận kết quả từ 3 trọng tài, nhập ngay</t>
  </si>
  <si>
    <t>Vòng bảng Lượt 2, 3 trận song song:
Dây 1 (Bảng D): Đội 6 (KV Nguyễn Khuyến 1/Quang Trung/Văn Phú)  vs  Đội 7 (KV Văn Quán 1/Nguyễn Khuyến/Lê Thanh Nghị HD)
Dây 2 (Bảng A): Đội 10 (KV Yên Nghĩa/Văn Quán 2-3)  vs  Đội 5 (KV Trần Quốc Vượng/Xuân Thủy/Hoàng Quốc Việt/Bắc Từ Liêm)
Dây 3 (Bảng B): Đội 12 (KV Gia Lâm/Giải Phóng/Lê Thanh Nghị 2)  vs  Đội 2 (Trụ sở – Khối Quản trị)</t>
  </si>
  <si>
    <t>Vòng bảng Lượt 3, 3 trận song song:
Dây 1 (Bảng C): Đội 9 (KV Thanh Trì/Trần Đại Nghĩa 2/Lê Duẩn HP/Lạch Tray HP)  vs  Đội 8 (KV Thái Hà/Xuân Quỳnh/Tam Khương...)
Dây 2 (Bảng D): Đội 6 (KV Nguyễn Khuyến 1/Quang Trung/Văn Phú)  vs  Đội 11 (KV Phùng Khoang/Bắc Sơn/MonBay/Hoàng Diệu/Phong Châu)
Dây 3 (Bảng A): Đội 4 (KV Đặng Thùy Trâm/Phạm Tuấn Tài 3/Láng Hạ/Mê Linh)  vs  Đội 5 (KV Trần Quốc Vượng/Xuân Thủy/Hoàng Quốc Việt/Bắc Từ Liêm)</t>
  </si>
  <si>
    <t>Vòng bảng Lượt 4, 3 trận song song:
Dây 1 (Bảng B): Đội 1 (Trụ sở – Khối Sản xuất - Vận hành)  vs  Đội 2 (Trụ sở – Khối Quản trị)
Dây 2 (Bảng C): Đội 3 (Trụ sở – Khối TNKH &amp; Truyền thông Marketing)  vs  Đội 8 (KV Thái Hà/Xuân Quỳnh/Tam Khương...)
Dây 3 (Bảng D): Đội 7 (KV Văn Quán 1/Nguyễn Khuyến/Lê Thanh Nghị HD)  vs  Đội 11 (KV Phùng Khoang/Bắc Sơn/MonBay/Hoàng Diệu/Phong Châu)</t>
  </si>
  <si>
    <t>Chốt bảng điểm, xác nhận danh sách bán kết</t>
  </si>
  <si>
    <t>Chốt danh sách chung kết</t>
  </si>
  <si>
    <t>Nhận danh sách xếp hạng cuối, chuẩn bị kịch bản xướng tên</t>
  </si>
  <si>
    <t>Chốt danh sách, bàn giao cho bộ phận khen thưởng</t>
  </si>
  <si>
    <t>Xếp bằng khen/cúp đúng thứ tự MC sẽ xướng tên</t>
  </si>
  <si>
    <t>VŨ ĐÀI TRÍ TUỆ — VÒNG LOẠI (6 CẶP)</t>
  </si>
  <si>
    <t>Thắng = 100 điểm, Thua = 50 điểm (theo luật). Chỉ cần chọn Đội thắng ở cột màu xanh — điểm và đội thua tự tính.</t>
  </si>
  <si>
    <t>Cặp đấu</t>
  </si>
  <si>
    <t>Điểm Đội 1</t>
  </si>
  <si>
    <t>Điểm Đội 2</t>
  </si>
  <si>
    <t>Cặp 1</t>
  </si>
  <si>
    <t>Cặp 2</t>
  </si>
  <si>
    <t>Cặp 3</t>
  </si>
  <si>
    <t>Cặp 4</t>
  </si>
  <si>
    <t>Cặp 5</t>
  </si>
  <si>
    <t>Cặp 6</t>
  </si>
  <si>
    <t>6 đội thắng vào vòng "The Last of us" — quản lý và nhập kết quả vòng này tại sheet 'VĐTT - Last of us'.</t>
  </si>
  <si>
    <t>GIẢI PHỤ — CHẤM ĐIỂM THEO TIÊU CHÍ</t>
  </si>
  <si>
    <t>Chấm điểm từng tiêu chí cho mỗi đội (theo thang điểm đã quy định) — Tổng điểm &amp; Đội thắng mỗi giải tự tính. Giải phụ hoàn toàn tách biệt (chỉ vinh danh + tiền thưởng riêng), KHÔNG ảnh hưởng đến Tổng điểm 3 môn / thứ hạng Nhất-Nhì-Ba Edulympic.</t>
  </si>
  <si>
    <t>Giải thưởng</t>
  </si>
  <si>
    <t>Đội Cổ Vũ Xuất Sắc</t>
  </si>
  <si>
    <t>Đồng Đội Vàng</t>
  </si>
  <si>
    <t>Fair Play</t>
  </si>
  <si>
    <t>Thủ Lĩnh Truyền Lửa</t>
  </si>
  <si>
    <t>Khoảnh Khắc Edutalk</t>
  </si>
  <si>
    <t>Bản Lĩnh Kiên Cường</t>
  </si>
  <si>
    <t>Chiến Thuật Xuất Sắc</t>
  </si>
  <si>
    <t>Đội hình đoàn kết</t>
  </si>
  <si>
    <t>Lội Ngược Dòng Ấn Tượng</t>
  </si>
  <si>
    <t>Đội Truyền Cảm Hứng</t>
  </si>
  <si>
    <t>Lá Chắn Nữ Hoàng</t>
  </si>
  <si>
    <t>Chi tiết chấm điểm theo từng tiêu chí — kéo xuống. Chỉ nhập điểm ở cột màu xanh, không vượt quá điểm tối đa ghi trên tiêu đề cột.</t>
  </si>
  <si>
    <t>Đội thắng:</t>
  </si>
  <si>
    <t>Mức độ tham gia (đủ thành viên)
(tối đa 30)</t>
  </si>
  <si>
    <t>Sáng tạo (banner, slogan, đạo cụ, tiết mục...)
(tối đa 30)</t>
  </si>
  <si>
    <t>Sôi động, lan tỏa
(tối đa 20)</t>
  </si>
  <si>
    <t>Văn minh, đúng quy định
(tối đa 20)</t>
  </si>
  <si>
    <t>Tổng điểm</t>
  </si>
  <si>
    <t>Hạng</t>
  </si>
  <si>
    <t>Phối hợp trong thi đấu
(tối đa 40)</t>
  </si>
  <si>
    <t>Hỗ trợ đồng đội
(tối đa 30)</t>
  </si>
  <si>
    <t>Kỷ luật, đúng chiến thuật
(tối đa 30)</t>
  </si>
  <si>
    <t>Chấp hành luật chơi
(tối đa 40)</t>
  </si>
  <si>
    <t>Tôn trọng trọng tài, đối thủ
(tối đa 30)</t>
  </si>
  <si>
    <t>Ứng xử văn minh
(tối đa 30)</t>
  </si>
  <si>
    <t>Khả năng dẫn dắt đội
(tối đa 40)</t>
  </si>
  <si>
    <t>Khích lệ tinh thần đồng đội
(tối đa 30)</t>
  </si>
  <si>
    <t>Chủ động xử lý tình huống
(tối đa 30)</t>
  </si>
  <si>
    <t>Ý nghĩa, cảm xúc
(tối đa 40)</t>
  </si>
  <si>
    <t>Tính lan tỏa
(tối đa 30)</t>
  </si>
  <si>
    <t>Hình ảnh/video đẹp
(tối đa 30)</t>
  </si>
  <si>
    <t>Không bỏ cuộc
(tối đa 40)</t>
  </si>
  <si>
    <t>Quyết tâm trong thi đấu
(tối đa 30)</t>
  </si>
  <si>
    <t>Vượt khó, nỗ lực
(tối đa 30)</t>
  </si>
  <si>
    <t>Chiến thuật hợp lý
(tối đa 40)</t>
  </si>
  <si>
    <t>Khả năng thích ứng
(tối đa 30)</t>
  </si>
  <si>
    <t>Hiệu quả chiến thuật
(tối đa 30)</t>
  </si>
  <si>
    <t>Đoàn kết
(tối đa 40)</t>
  </si>
  <si>
    <t>Hỗ trợ nhau
(tối đa 30)</t>
  </si>
  <si>
    <t>Tinh thần tập thể
(tối đa 30)</t>
  </si>
  <si>
    <t>Mức độ bứt phá
(tối đa 40)</t>
  </si>
  <si>
    <t>Ý chí thi đấu
(tối đa 30)</t>
  </si>
  <si>
    <t>Kết quả sau khi lội ngược dòng
(tối đa 30)</t>
  </si>
  <si>
    <t>Lan tỏa tinh thần tích cực
(tối đa 40)</t>
  </si>
  <si>
    <t>Hình ảnh đẹp trong thi đấu
(tối đa 30)</t>
  </si>
  <si>
    <t>Được các đội khác ghi nhận
(tối đa 30)</t>
  </si>
  <si>
    <t>Thời gian bảo vệ Nữ hoàng lâu nhất trong trận
(tối đa 50)</t>
  </si>
  <si>
    <t>Khả năng phối hợp che chắn, hỗ trợ đồng đội
(tối đa 20)</t>
  </si>
  <si>
    <t>Số lần hóa giải tình huống nguy hiểm cho Nữ hoàng
(tối đa 20)</t>
  </si>
  <si>
    <t>Tuân thủ luật chơi và tinh thần Fair Play
(tối đa 10)</t>
  </si>
  <si>
    <t>CẦU THỦ GHI BÀN — GIẢI CẦU THỦ XUẤT SẮC NHẤT (BÓNG NÉ)</t>
  </si>
  <si>
    <t>Hoàn toàn tự động: danh sách cầu thủ, đội, tổng bàn thắng và xếp hạng đều lấy thẳng từ bảng "Chi tiết ghi bàn" ở sheet 'Nhập kết quả' — không cần nhập gì ở đây.</t>
  </si>
  <si>
    <t>Chỉ cần nhập đầy đủ dữ liệu ở sheet 'Nhập kết quả'; danh sách dưới đây tự cập nhật và tự sắp xếp theo số bàn thắng giảm dần.</t>
  </si>
  <si>
    <t>Vùng phụ trợ (không cần chỉnh sửa) — dùng để sắp xếp tự động</t>
  </si>
  <si>
    <t>Tổng số bàn thắng</t>
  </si>
  <si>
    <t>Tên (trích tự động)</t>
  </si>
  <si>
    <t>Bàn</t>
  </si>
  <si>
    <t>Khóa sắp xếp</t>
  </si>
  <si>
    <t>CẦU THỦ XUẤT SẮC NHẤT:</t>
  </si>
  <si>
    <t>TỔNG ĐIỂM TOÀN ĐOÀN — SAU 3 MÔN THI ĐẤU</t>
  </si>
  <si>
    <t>Bóng né &amp; Kéo co: Vòng bảng 30/10/0 – Bán kết 100/50 – Chung kết 200/100  |  VĐTT: vòng loại Thắng 100/Thua 50 + điểm Last of us (loại thứ N = N×5, vô địch = 110) cộng dồn theo đội  |  Giải phụ tách biệt, không cộng vào tổng điểm</t>
  </si>
  <si>
    <t>Điểm Bóng né</t>
  </si>
  <si>
    <t>Điểm Kéo co</t>
  </si>
  <si>
    <t>Điểm VĐTT</t>
  </si>
  <si>
    <t>Tổng điểm 3 môn</t>
  </si>
  <si>
    <t>Giải Edulympic</t>
  </si>
  <si>
    <t>VŨ ĐÀI TRÍ TUỆ — VÒNG CHUNG KẾT "THE LAST OF US"</t>
  </si>
  <si>
    <t>18 người chơi (3 người/đội × 6 đội thắng vòng loại). Mỗi lượt trả lời sai bị loại — nhập đúng "Thứ tự bị loại" (1 = bị loại đầu tiên). Người không bao giờ bị loại (để trống) là nhà vô địch.</t>
  </si>
  <si>
    <t>Có thể dùng Thẻ Hy sinh / Thẻ Niềm tin / Thẻ Lựa chọn — ghi chú lại ở cột "Ghi chú" nếu ảnh hưởng đến thứ tự bị loại.</t>
  </si>
  <si>
    <t>Cách tính điểm: bị loại thứ N → N × 5 điểm (loại đầu +5, loại nhì +10, loại ba +15...). Người ở lại cuối cùng: (18 × 5) + 20 = 110 điểm.</t>
  </si>
  <si>
    <t>Tên thành viên</t>
  </si>
  <si>
    <t>Thứ tự bị loại
(để trống nếu vô địch)</t>
  </si>
  <si>
    <t>Hạng chung cuộc</t>
  </si>
  <si>
    <t>Ghi chú (thẻ đã dùng)</t>
  </si>
  <si>
    <t>HẠNG MỤC GIẢI THƯỞNG</t>
  </si>
  <si>
    <t>Tất cả cột "Đội đạt giải" đều tự động — chấm điểm chi tiết tại sheet 'Giải phụ - Chấm điểm' và 'Cầu thủ ghi bàn'.</t>
  </si>
  <si>
    <t>Tiêu chí chính</t>
  </si>
  <si>
    <t>Đội đạt giải</t>
  </si>
  <si>
    <t>Giá trị giải</t>
  </si>
  <si>
    <t>Nhất Edulympic</t>
  </si>
  <si>
    <t>Tổng điểm 3 môn cao nhất</t>
  </si>
  <si>
    <t>Nhì</t>
  </si>
  <si>
    <t>Tổng điểm 3 môn cao thứ nhì</t>
  </si>
  <si>
    <t>Ba</t>
  </si>
  <si>
    <t>Tổng điểm 3 môn cao thứ ba</t>
  </si>
  <si>
    <t>Giải nhất Vũ đài trí tuệ</t>
  </si>
  <si>
    <t>Vô địch vòng "The Last of us" (đội của người vô địch)</t>
  </si>
  <si>
    <t>Mức độ tham gia, sáng tạo, sôi động, văn minh</t>
  </si>
  <si>
    <t>Phối hợp, hỗ trợ đồng đội, kỷ luật chiến thuật</t>
  </si>
  <si>
    <t>Chấp hành luật, tôn trọng trọng tài/đối thủ, ứng xử văn minh</t>
  </si>
  <si>
    <t>Khả năng dẫn dắt, khích lệ, xử lý tình huống</t>
  </si>
  <si>
    <t>Ý nghĩa/cảm xúc, tính lan tỏa, hình ảnh/video đẹp</t>
  </si>
  <si>
    <t>Không bỏ cuộc, quyết tâm, vượt khó nỗ lực</t>
  </si>
  <si>
    <t>Chiến thuật hợp lý, khả năng thích ứng, hiệu quả</t>
  </si>
  <si>
    <t>Đoàn kết, hỗ trợ nhau, tinh thần tập thể</t>
  </si>
  <si>
    <t>Mức độ bứt phá, ý chí thi đấu, kết quả lội ngược dòng</t>
  </si>
  <si>
    <t>Lan tỏa tinh thần tích cực, hình ảnh đẹp, được ghi nhận</t>
  </si>
  <si>
    <t>Thời gian bảo vệ, phối hợp che chắn, hóa giải nguy hiểm, Fair Play</t>
  </si>
  <si>
    <t>Cầu thủ xuất sắc nhất</t>
  </si>
  <si>
    <t>Số bàn thắng cao nhất (Bóng né) — giải cá nhân</t>
  </si>
  <si>
    <t>TỔNG GIÁ TRỊ GIẢI THƯỞNG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</si>
</sst>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"/>
  </numFmts>
  <fonts count="2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11"/>
      <color rgb="FF555555"/>
      <name val="Arial"/>
      <charset val="1"/>
    </font>
    <font>
      <sz val="9"/>
      <color rgb="FF1F3864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sz val="10"/>
      <color rgb="FF007A33"/>
      <name val="Arial"/>
      <charset val="1"/>
    </font>
    <font>
      <b/>
      <i/>
      <sz val="10"/>
      <name val="Arial"/>
      <charset val="1"/>
    </font>
    <font>
      <b/>
      <sz val="10"/>
      <color rgb="FF000000"/>
      <name val="Arial"/>
      <charset val="1"/>
    </font>
    <font>
      <i/>
      <sz val="8"/>
      <color rgb="FFC00000"/>
      <name val="Arial"/>
      <charset val="1"/>
    </font>
    <font>
      <b/>
      <sz val="10"/>
      <color rgb="FF007A33"/>
      <name val="Arial"/>
      <charset val="1"/>
    </font>
    <font>
      <sz val="9"/>
      <color rgb="FFC00000"/>
      <name val="Arial"/>
      <charset val="1"/>
    </font>
    <font>
      <b/>
      <sz val="13"/>
      <color rgb="FF1F3864"/>
      <name val="Arial"/>
      <charset val="1"/>
    </font>
    <font>
      <i/>
      <sz val="9"/>
      <color rgb="FFC00000"/>
      <name val="Arial"/>
      <charset val="1"/>
    </font>
    <font>
      <b/>
      <sz val="12"/>
      <color rgb="FF1F3864"/>
      <name val="Arial"/>
      <charset val="1"/>
    </font>
    <font>
      <b/>
      <sz val="12"/>
      <color rgb="FFB7862C"/>
      <name val="Arial"/>
      <charset val="1"/>
    </font>
    <font>
      <i/>
      <sz val="9"/>
      <color rgb="FF555555"/>
      <name val="Arial"/>
      <charset val="1"/>
    </font>
    <font>
      <i/>
      <sz val="8"/>
      <color rgb="FF999999"/>
      <name val="Arial"/>
      <charset val="1"/>
    </font>
    <font>
      <b/>
      <sz val="18"/>
      <color rgb="FF1F3864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8C8C8C"/>
        <bgColor rgb="FF878787"/>
      </patternFill>
    </fill>
    <fill>
      <patternFill patternType="solid">
        <fgColor rgb="FFEDEDED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D9D9D9"/>
        <bgColor rgb="FFEDEDED"/>
      </patternFill>
    </fill>
    <fill>
      <patternFill patternType="solid">
        <fgColor rgb="FFE8A96E"/>
        <bgColor rgb="FFFF808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0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1" fillId="0" borderId="0" xfId="0" applyFont="1"/>
    <xf numFmtId="0" fontId="9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16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17" fillId="0" borderId="0" xfId="0" applyFont="1"/>
    <xf numFmtId="0" fontId="10" fillId="0" borderId="1" xfId="0" applyFont="1" applyBorder="1"/>
    <xf numFmtId="0" fontId="18" fillId="0" borderId="0" xfId="0" applyFont="1"/>
    <xf numFmtId="0" fontId="19" fillId="0" borderId="0" xfId="0" applyFont="1"/>
    <xf numFmtId="0" fontId="8" fillId="5" borderId="1" xfId="0" applyFont="1" applyFill="1" applyBorder="1" applyAlignment="1">
      <alignment horizontal="center" vertical="center"/>
    </xf>
    <xf numFmtId="0" fontId="10" fillId="6" borderId="1" xfId="0" applyFont="1" applyFill="1" applyBorder="1"/>
    <xf numFmtId="3" fontId="5" fillId="0" borderId="1" xfId="0" applyNumberFormat="1" applyFont="1" applyBorder="1" applyAlignment="1">
      <alignment horizontal="center" vertical="center"/>
    </xf>
    <xf numFmtId="0" fontId="10" fillId="7" borderId="1" xfId="0" applyFont="1" applyFill="1" applyBorder="1"/>
    <xf numFmtId="0" fontId="10" fillId="8" borderId="1" xfId="0" applyFont="1" applyFill="1" applyBorder="1"/>
    <xf numFmtId="0" fontId="10" fillId="3" borderId="1" xfId="0" applyFont="1" applyFill="1" applyBorder="1"/>
    <xf numFmtId="3" fontId="10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E8A96E"/>
        </patternFill>
      </fill>
    </dxf>
    <dxf>
      <fill>
        <patternFill>
          <bgColor rgb="FFD9D9D9"/>
        </patternFill>
      </fill>
    </dxf>
    <dxf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B7862C"/>
      <rgbColor rgb="FF800080"/>
      <rgbColor rgb="FF008080"/>
      <rgbColor rgb="FFBFBFBF"/>
      <rgbColor rgb="FF878787"/>
      <rgbColor rgb="FF8C8C8C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E8A96E"/>
      <rgbColor rgb="FF3366FF"/>
      <rgbColor rgb="FF33CCCC"/>
      <rgbColor rgb="FF99CC00"/>
      <rgbColor rgb="FFFFD7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Tổng điểm 3 môn theo đội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'Tổng điểm toàn đoàn'!$F$4</c:f>
              <c:strCache>
                <c:ptCount val="1"/>
                <c:pt idx="0">
                  <c:v>Tổng điểm 3 môn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'Tổng điểm toàn đoàn'!$B$5:$B$16</c:f>
              <c:strCache>
                <c:ptCount val="12"/>
                <c:pt idx="0">
                  <c:v>Đội 10</c:v>
                </c:pt>
                <c:pt idx="1">
                  <c:v>Đội 4</c:v>
                </c:pt>
                <c:pt idx="2">
                  <c:v>Đội 5</c:v>
                </c:pt>
                <c:pt idx="3">
                  <c:v>Đội 12</c:v>
                </c:pt>
                <c:pt idx="4">
                  <c:v>Đội 1</c:v>
                </c:pt>
                <c:pt idx="5">
                  <c:v>Đội 2</c:v>
                </c:pt>
                <c:pt idx="6">
                  <c:v>Đội 9</c:v>
                </c:pt>
                <c:pt idx="7">
                  <c:v>Đội 3</c:v>
                </c:pt>
                <c:pt idx="8">
                  <c:v>Đội 8</c:v>
                </c:pt>
                <c:pt idx="9">
                  <c:v>Đội 6</c:v>
                </c:pt>
                <c:pt idx="10">
                  <c:v>Đội 7</c:v>
                </c:pt>
                <c:pt idx="11">
                  <c:v>Đội 11</c:v>
                </c:pt>
              </c:strCache>
            </c:strRef>
          </c:cat>
          <c:val>
            <c:numRef>
              <c:f>'Tổng điểm toàn đoàn'!$F$5:$F$16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15-4E1A-B479-8E33C1053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569258"/>
        <c:axId val="41031490"/>
      </c:barChart>
      <c:catAx>
        <c:axId val="835692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Đội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031490"/>
        <c:crosses val="autoZero"/>
        <c:auto val="1"/>
        <c:lblAlgn val="ctr"/>
        <c:lblOffset val="100"/>
        <c:noMultiLvlLbl val="0"/>
      </c:catAx>
      <c:valAx>
        <c:axId val="410314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Điểm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5692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101160</xdr:rowOff>
    </xdr:from>
    <xdr:to>
      <xdr:col>9</xdr:col>
      <xdr:colOff>70560</xdr:colOff>
      <xdr:row>36</xdr:row>
      <xdr:rowOff>80640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showGridLines="0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I1"/>
    </sheetView>
  </sheetViews>
  <sheetFormatPr defaultColWidth="8.7109375" defaultRowHeight="15" x14ac:dyDescent="0.25"/>
  <cols>
    <col min="1" max="1" width="5" customWidth="1"/>
    <col min="2" max="4" width="9" customWidth="1"/>
    <col min="5" max="5" width="30" customWidth="1"/>
    <col min="6" max="6" width="40" customWidth="1"/>
    <col min="7" max="7" width="24" customWidth="1"/>
    <col min="8" max="8" width="38" customWidth="1"/>
    <col min="9" max="9" width="46" customWidth="1"/>
  </cols>
  <sheetData>
    <row r="1" spans="1:9" ht="19.5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1</v>
      </c>
      <c r="B2" s="9"/>
      <c r="C2" s="9"/>
      <c r="D2" s="9"/>
      <c r="E2" s="9"/>
      <c r="F2" s="9"/>
      <c r="G2" s="9"/>
      <c r="H2" s="9"/>
      <c r="I2" s="9"/>
    </row>
    <row r="4" spans="1:9" ht="15" customHeight="1" x14ac:dyDescent="0.25">
      <c r="A4" s="8" t="s">
        <v>2</v>
      </c>
      <c r="B4" s="8"/>
      <c r="C4" s="8"/>
      <c r="D4" s="8"/>
      <c r="E4" s="8"/>
      <c r="F4" s="8"/>
      <c r="G4" s="8"/>
      <c r="H4" s="8"/>
      <c r="I4" s="8"/>
    </row>
    <row r="6" spans="1:9" ht="30" customHeight="1" x14ac:dyDescent="0.25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11" t="s">
        <v>10</v>
      </c>
      <c r="I6" s="11" t="s">
        <v>11</v>
      </c>
    </row>
    <row r="7" spans="1:9" ht="67.5" customHeight="1" x14ac:dyDescent="0.25">
      <c r="A7" s="12">
        <v>1</v>
      </c>
      <c r="B7" s="13">
        <f>C7-D7/1440</f>
        <v>0.4201388888888889</v>
      </c>
      <c r="C7" s="13" t="str">
        <f>B8</f>
        <v>10:15</v>
      </c>
      <c r="D7" s="14">
        <v>10</v>
      </c>
      <c r="E7" s="15" t="s">
        <v>12</v>
      </c>
      <c r="F7" s="15" t="s">
        <v>13</v>
      </c>
      <c r="G7" s="15" t="s">
        <v>14</v>
      </c>
      <c r="H7" s="15" t="s">
        <v>15</v>
      </c>
      <c r="I7" s="15" t="s">
        <v>16</v>
      </c>
    </row>
    <row r="8" spans="1:9" ht="67.5" customHeight="1" x14ac:dyDescent="0.25">
      <c r="A8" s="12">
        <v>2</v>
      </c>
      <c r="B8" s="16" t="s">
        <v>17</v>
      </c>
      <c r="C8" s="13">
        <f t="shared" ref="C8:C27" si="0">B8+D8/1440</f>
        <v>0.43402777777777773</v>
      </c>
      <c r="D8" s="17">
        <f>IF(COUNTIF('Lịch thi đấu'!$G$13:$G$24,1)&gt;0,10,0)</f>
        <v>10</v>
      </c>
      <c r="E8" s="15" t="s">
        <v>18</v>
      </c>
      <c r="F8" s="15" t="s">
        <v>19</v>
      </c>
      <c r="G8" s="15" t="s">
        <v>20</v>
      </c>
      <c r="H8" s="15" t="s">
        <v>21</v>
      </c>
      <c r="I8" s="15" t="s">
        <v>22</v>
      </c>
    </row>
    <row r="9" spans="1:9" ht="67.5" customHeight="1" x14ac:dyDescent="0.25">
      <c r="A9" s="12">
        <v>3</v>
      </c>
      <c r="B9" s="13">
        <f t="shared" ref="B9:B27" si="1">C8</f>
        <v>0.43402777777777773</v>
      </c>
      <c r="C9" s="13">
        <f t="shared" si="0"/>
        <v>0.44097222222222215</v>
      </c>
      <c r="D9" s="17">
        <f>IF(COUNTIF('Lịch thi đấu'!$G$13:$G$24,2)&gt;0,10,0)</f>
        <v>10</v>
      </c>
      <c r="E9" s="15" t="s">
        <v>18</v>
      </c>
      <c r="F9" s="15" t="s">
        <v>23</v>
      </c>
      <c r="G9" s="15" t="s">
        <v>20</v>
      </c>
      <c r="H9" s="15" t="s">
        <v>24</v>
      </c>
      <c r="I9" s="15" t="s">
        <v>25</v>
      </c>
    </row>
    <row r="10" spans="1:9" ht="67.5" customHeight="1" x14ac:dyDescent="0.25">
      <c r="A10" s="12">
        <v>4</v>
      </c>
      <c r="B10" s="13">
        <f t="shared" si="1"/>
        <v>0.44097222222222215</v>
      </c>
      <c r="C10" s="13">
        <f t="shared" si="0"/>
        <v>0.44791666666666657</v>
      </c>
      <c r="D10" s="17">
        <f>IF(COUNTIF('Lịch thi đấu'!$G$13:$G$24,3)&gt;0,10,0)</f>
        <v>10</v>
      </c>
      <c r="E10" s="15" t="s">
        <v>18</v>
      </c>
      <c r="F10" s="15" t="s">
        <v>26</v>
      </c>
      <c r="G10" s="15" t="s">
        <v>20</v>
      </c>
      <c r="H10" s="15" t="s">
        <v>27</v>
      </c>
      <c r="I10" s="15" t="s">
        <v>28</v>
      </c>
    </row>
    <row r="11" spans="1:9" ht="67.5" customHeight="1" x14ac:dyDescent="0.25">
      <c r="A11" s="12">
        <v>5</v>
      </c>
      <c r="B11" s="13">
        <f t="shared" si="1"/>
        <v>0.44791666666666657</v>
      </c>
      <c r="C11" s="13">
        <f t="shared" si="0"/>
        <v>0.45486111111111099</v>
      </c>
      <c r="D11" s="17">
        <f>IF(COUNTIF('Lịch thi đấu'!$G$13:$G$24,4)&gt;0,10,0)</f>
        <v>10</v>
      </c>
      <c r="E11" s="15" t="s">
        <v>18</v>
      </c>
      <c r="F11" s="15" t="s">
        <v>29</v>
      </c>
      <c r="G11" s="15" t="s">
        <v>20</v>
      </c>
      <c r="H11" s="15" t="s">
        <v>30</v>
      </c>
      <c r="I11" s="15" t="s">
        <v>31</v>
      </c>
    </row>
    <row r="12" spans="1:9" ht="67.5" customHeight="1" x14ac:dyDescent="0.25">
      <c r="A12" s="12">
        <v>6</v>
      </c>
      <c r="B12" s="13">
        <f t="shared" si="1"/>
        <v>0.45486111111111099</v>
      </c>
      <c r="C12" s="13">
        <f t="shared" si="0"/>
        <v>0.46180555555555541</v>
      </c>
      <c r="D12" s="17">
        <f>IF(COUNTIF('Lịch thi đấu'!$G$13:$G$24,5)&gt;0,10,0)</f>
        <v>10</v>
      </c>
      <c r="E12" s="15" t="s">
        <v>18</v>
      </c>
      <c r="F12" s="15" t="s">
        <v>32</v>
      </c>
      <c r="G12" s="15" t="s">
        <v>20</v>
      </c>
      <c r="H12" s="15" t="s">
        <v>33</v>
      </c>
      <c r="I12" s="15" t="s">
        <v>34</v>
      </c>
    </row>
    <row r="13" spans="1:9" ht="67.5" customHeight="1" x14ac:dyDescent="0.25">
      <c r="A13" s="12">
        <v>7</v>
      </c>
      <c r="B13" s="13">
        <f t="shared" si="1"/>
        <v>0.46180555555555541</v>
      </c>
      <c r="C13" s="13">
        <f t="shared" si="0"/>
        <v>0.46874999999999983</v>
      </c>
      <c r="D13" s="17">
        <f>IF(COUNTIF('Lịch thi đấu'!$G$13:$G$24,6)&gt;0,10,0)</f>
        <v>10</v>
      </c>
      <c r="E13" s="15" t="s">
        <v>18</v>
      </c>
      <c r="F13" s="15" t="s">
        <v>35</v>
      </c>
      <c r="G13" s="15" t="s">
        <v>20</v>
      </c>
      <c r="H13" s="15" t="s">
        <v>36</v>
      </c>
      <c r="I13" s="15" t="s">
        <v>37</v>
      </c>
    </row>
    <row r="14" spans="1:9" ht="67.5" customHeight="1" x14ac:dyDescent="0.25">
      <c r="A14" s="12">
        <v>8</v>
      </c>
      <c r="B14" s="13">
        <f t="shared" si="1"/>
        <v>0.46874999999999983</v>
      </c>
      <c r="C14" s="13">
        <f t="shared" si="0"/>
        <v>0.47569444444444425</v>
      </c>
      <c r="D14" s="14">
        <v>10</v>
      </c>
      <c r="E14" s="15" t="s">
        <v>38</v>
      </c>
      <c r="F14" s="15" t="s">
        <v>39</v>
      </c>
      <c r="G14" s="15" t="s">
        <v>40</v>
      </c>
      <c r="H14" s="15" t="s">
        <v>41</v>
      </c>
      <c r="I14" s="15" t="s">
        <v>42</v>
      </c>
    </row>
    <row r="15" spans="1:9" ht="67.5" customHeight="1" x14ac:dyDescent="0.25">
      <c r="A15" s="12">
        <v>9</v>
      </c>
      <c r="B15" s="13">
        <f t="shared" si="1"/>
        <v>0.47569444444444425</v>
      </c>
      <c r="C15" s="13">
        <f t="shared" si="0"/>
        <v>0.48263888888888867</v>
      </c>
      <c r="D15" s="17">
        <f>IF(COUNTIF('Lịch thi đấu'!$G$25:$G$36,1)&gt;0,10,0)</f>
        <v>10</v>
      </c>
      <c r="E15" s="15" t="s">
        <v>43</v>
      </c>
      <c r="F15" s="15" t="s">
        <v>44</v>
      </c>
      <c r="G15" s="15" t="s">
        <v>45</v>
      </c>
      <c r="H15" s="15" t="s">
        <v>46</v>
      </c>
      <c r="I15" s="15" t="s">
        <v>47</v>
      </c>
    </row>
    <row r="16" spans="1:9" ht="67.5" customHeight="1" x14ac:dyDescent="0.25">
      <c r="A16" s="12">
        <v>10</v>
      </c>
      <c r="B16" s="13">
        <f t="shared" si="1"/>
        <v>0.48263888888888867</v>
      </c>
      <c r="C16" s="13">
        <f t="shared" si="0"/>
        <v>0.48958333333333309</v>
      </c>
      <c r="D16" s="17">
        <f>IF(COUNTIF('Lịch thi đấu'!$G$25:$G$36,2)&gt;0,10,0)</f>
        <v>10</v>
      </c>
      <c r="E16" s="15" t="s">
        <v>43</v>
      </c>
      <c r="F16" s="15" t="s">
        <v>48</v>
      </c>
      <c r="G16" s="15" t="s">
        <v>45</v>
      </c>
      <c r="H16" s="15" t="s">
        <v>49</v>
      </c>
      <c r="I16" s="15" t="s">
        <v>50</v>
      </c>
    </row>
    <row r="17" spans="1:9" ht="67.5" customHeight="1" x14ac:dyDescent="0.25">
      <c r="A17" s="12">
        <v>11</v>
      </c>
      <c r="B17" s="13">
        <f t="shared" si="1"/>
        <v>0.48958333333333309</v>
      </c>
      <c r="C17" s="13">
        <f t="shared" si="0"/>
        <v>0.49652777777777751</v>
      </c>
      <c r="D17" s="17">
        <f>IF(COUNTIF('Lịch thi đấu'!$G$25:$G$36,3)&gt;0,10,0)</f>
        <v>10</v>
      </c>
      <c r="E17" s="15" t="s">
        <v>43</v>
      </c>
      <c r="F17" s="15" t="s">
        <v>51</v>
      </c>
      <c r="G17" s="15" t="s">
        <v>45</v>
      </c>
      <c r="H17" s="15" t="s">
        <v>52</v>
      </c>
      <c r="I17" s="15" t="s">
        <v>53</v>
      </c>
    </row>
    <row r="18" spans="1:9" ht="67.5" customHeight="1" x14ac:dyDescent="0.25">
      <c r="A18" s="12">
        <v>12</v>
      </c>
      <c r="B18" s="13">
        <f t="shared" si="1"/>
        <v>0.49652777777777751</v>
      </c>
      <c r="C18" s="13">
        <f t="shared" si="0"/>
        <v>0.50347222222222199</v>
      </c>
      <c r="D18" s="17">
        <f>IF(COUNTIF('Lịch thi đấu'!$G$25:$G$36,4)&gt;0,10,0)</f>
        <v>10</v>
      </c>
      <c r="E18" s="15" t="s">
        <v>43</v>
      </c>
      <c r="F18" s="15" t="s">
        <v>54</v>
      </c>
      <c r="G18" s="15" t="s">
        <v>45</v>
      </c>
      <c r="H18" s="15" t="s">
        <v>55</v>
      </c>
      <c r="I18" s="15" t="s">
        <v>56</v>
      </c>
    </row>
    <row r="19" spans="1:9" ht="67.5" customHeight="1" x14ac:dyDescent="0.25">
      <c r="A19" s="12">
        <v>13</v>
      </c>
      <c r="B19" s="13">
        <f t="shared" si="1"/>
        <v>0.50347222222222199</v>
      </c>
      <c r="C19" s="13">
        <f t="shared" si="0"/>
        <v>0.51041666666666641</v>
      </c>
      <c r="D19" s="14">
        <v>10</v>
      </c>
      <c r="E19" s="15" t="s">
        <v>57</v>
      </c>
      <c r="F19" s="15" t="s">
        <v>58</v>
      </c>
      <c r="G19" s="15" t="s">
        <v>59</v>
      </c>
      <c r="H19" s="15" t="s">
        <v>60</v>
      </c>
      <c r="I19" s="15" t="s">
        <v>61</v>
      </c>
    </row>
    <row r="20" spans="1:9" ht="67.5" customHeight="1" x14ac:dyDescent="0.25">
      <c r="A20" s="12">
        <v>14</v>
      </c>
      <c r="B20" s="13">
        <f t="shared" si="1"/>
        <v>0.51041666666666641</v>
      </c>
      <c r="C20" s="13">
        <f t="shared" si="0"/>
        <v>0.51736111111111083</v>
      </c>
      <c r="D20" s="14">
        <v>10</v>
      </c>
      <c r="E20" s="15" t="s">
        <v>62</v>
      </c>
      <c r="F20" s="15" t="s">
        <v>63</v>
      </c>
      <c r="G20" s="15" t="s">
        <v>20</v>
      </c>
      <c r="H20" s="15" t="s">
        <v>64</v>
      </c>
      <c r="I20" s="15" t="s">
        <v>65</v>
      </c>
    </row>
    <row r="21" spans="1:9" ht="67.5" customHeight="1" x14ac:dyDescent="0.25">
      <c r="A21" s="12">
        <v>15</v>
      </c>
      <c r="B21" s="13">
        <f t="shared" si="1"/>
        <v>0.51736111111111083</v>
      </c>
      <c r="C21" s="13">
        <f t="shared" si="0"/>
        <v>0.52430555555555525</v>
      </c>
      <c r="D21" s="14">
        <v>10</v>
      </c>
      <c r="E21" s="15" t="s">
        <v>66</v>
      </c>
      <c r="F21" s="15" t="s">
        <v>67</v>
      </c>
      <c r="G21" s="15" t="s">
        <v>68</v>
      </c>
      <c r="H21" s="15" t="s">
        <v>69</v>
      </c>
      <c r="I21" s="15" t="s">
        <v>70</v>
      </c>
    </row>
    <row r="22" spans="1:9" ht="67.5" customHeight="1" x14ac:dyDescent="0.25">
      <c r="A22" s="12">
        <v>16</v>
      </c>
      <c r="B22" s="13">
        <f t="shared" si="1"/>
        <v>0.52430555555555525</v>
      </c>
      <c r="C22" s="13">
        <f t="shared" si="0"/>
        <v>0.53124999999999967</v>
      </c>
      <c r="D22" s="14">
        <v>10</v>
      </c>
      <c r="E22" s="15" t="s">
        <v>71</v>
      </c>
      <c r="F22" s="15" t="s">
        <v>72</v>
      </c>
      <c r="G22" s="15" t="s">
        <v>59</v>
      </c>
      <c r="H22" s="15" t="s">
        <v>73</v>
      </c>
      <c r="I22" s="15" t="s">
        <v>74</v>
      </c>
    </row>
    <row r="23" spans="1:9" ht="67.5" customHeight="1" x14ac:dyDescent="0.25">
      <c r="A23" s="12">
        <v>17</v>
      </c>
      <c r="B23" s="13">
        <f t="shared" si="1"/>
        <v>0.53124999999999967</v>
      </c>
      <c r="C23" s="13">
        <f t="shared" si="0"/>
        <v>0.53819444444444409</v>
      </c>
      <c r="D23" s="14">
        <v>10</v>
      </c>
      <c r="E23" s="15" t="s">
        <v>75</v>
      </c>
      <c r="F23" s="15" t="s">
        <v>76</v>
      </c>
      <c r="G23" s="15" t="s">
        <v>77</v>
      </c>
      <c r="H23" s="15" t="s">
        <v>78</v>
      </c>
      <c r="I23" s="15" t="s">
        <v>79</v>
      </c>
    </row>
    <row r="24" spans="1:9" ht="67.5" customHeight="1" x14ac:dyDescent="0.25">
      <c r="A24" s="12">
        <v>18</v>
      </c>
      <c r="B24" s="13">
        <f t="shared" si="1"/>
        <v>0.53819444444444409</v>
      </c>
      <c r="C24" s="13">
        <f t="shared" si="0"/>
        <v>0.54513888888888851</v>
      </c>
      <c r="D24" s="14">
        <v>10</v>
      </c>
      <c r="E24" s="15" t="s">
        <v>75</v>
      </c>
      <c r="F24" s="15" t="s">
        <v>80</v>
      </c>
      <c r="G24" s="15" t="s">
        <v>81</v>
      </c>
      <c r="H24" s="15" t="s">
        <v>82</v>
      </c>
      <c r="I24" s="15" t="s">
        <v>83</v>
      </c>
    </row>
    <row r="25" spans="1:9" ht="67.5" customHeight="1" x14ac:dyDescent="0.25">
      <c r="A25" s="12">
        <v>19</v>
      </c>
      <c r="B25" s="13">
        <f t="shared" si="1"/>
        <v>0.54513888888888851</v>
      </c>
      <c r="C25" s="13">
        <f t="shared" si="0"/>
        <v>0.55555555555555514</v>
      </c>
      <c r="D25" s="14">
        <v>15</v>
      </c>
      <c r="E25" s="15" t="s">
        <v>84</v>
      </c>
      <c r="F25" s="15" t="s">
        <v>85</v>
      </c>
      <c r="G25" s="15" t="s">
        <v>86</v>
      </c>
      <c r="H25" s="15" t="s">
        <v>87</v>
      </c>
      <c r="I25" s="15" t="s">
        <v>88</v>
      </c>
    </row>
    <row r="26" spans="1:9" ht="67.5" customHeight="1" x14ac:dyDescent="0.25">
      <c r="A26" s="12">
        <v>20</v>
      </c>
      <c r="B26" s="13">
        <f t="shared" si="1"/>
        <v>0.55555555555555514</v>
      </c>
      <c r="C26" s="13">
        <f t="shared" si="0"/>
        <v>0.56597222222222177</v>
      </c>
      <c r="D26" s="14">
        <v>15</v>
      </c>
      <c r="E26" s="15" t="s">
        <v>89</v>
      </c>
      <c r="F26" s="15" t="s">
        <v>90</v>
      </c>
      <c r="G26" s="15" t="s">
        <v>14</v>
      </c>
      <c r="H26" s="15" t="s">
        <v>91</v>
      </c>
      <c r="I26" s="15" t="s">
        <v>92</v>
      </c>
    </row>
    <row r="27" spans="1:9" ht="67.5" customHeight="1" x14ac:dyDescent="0.25">
      <c r="A27" s="12">
        <v>21</v>
      </c>
      <c r="B27" s="13">
        <f t="shared" si="1"/>
        <v>0.56597222222222177</v>
      </c>
      <c r="C27" s="13">
        <f t="shared" si="0"/>
        <v>0.5763888888888884</v>
      </c>
      <c r="D27" s="14">
        <v>15</v>
      </c>
      <c r="E27" s="15" t="s">
        <v>93</v>
      </c>
      <c r="F27" s="15" t="s">
        <v>94</v>
      </c>
      <c r="G27" s="15" t="s">
        <v>95</v>
      </c>
      <c r="H27" s="15" t="s">
        <v>96</v>
      </c>
      <c r="I27" s="15" t="s">
        <v>97</v>
      </c>
    </row>
  </sheetData>
  <mergeCells count="3">
    <mergeCell ref="A1:I1"/>
    <mergeCell ref="A2:I2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2"/>
  <sheetViews>
    <sheetView showGridLines="0" zoomScaleNormal="100" workbookViewId="0">
      <pane ySplit="12" topLeftCell="A13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0" customWidth="1"/>
    <col min="3" max="3" width="20" customWidth="1"/>
    <col min="4" max="4" width="9" customWidth="1"/>
    <col min="5" max="6" width="12" customWidth="1"/>
    <col min="7" max="7" width="7" customWidth="1"/>
    <col min="8" max="9" width="12" customWidth="1"/>
  </cols>
  <sheetData>
    <row r="1" spans="1:9" ht="19.5" customHeight="1" x14ac:dyDescent="0.3">
      <c r="A1" s="10" t="s">
        <v>98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99</v>
      </c>
      <c r="B2" s="9"/>
      <c r="C2" s="9"/>
      <c r="D2" s="9"/>
      <c r="E2" s="9"/>
      <c r="F2" s="9"/>
      <c r="G2" s="9"/>
      <c r="H2" s="9"/>
      <c r="I2" s="9"/>
    </row>
    <row r="4" spans="1:9" ht="15" customHeight="1" x14ac:dyDescent="0.25">
      <c r="A4" s="7" t="s">
        <v>100</v>
      </c>
      <c r="B4" s="7"/>
      <c r="C4" s="7"/>
      <c r="D4" s="7"/>
    </row>
    <row r="5" spans="1:9" ht="23.25" customHeight="1" x14ac:dyDescent="0.25">
      <c r="A5" s="11" t="s">
        <v>101</v>
      </c>
      <c r="B5" s="11" t="s">
        <v>102</v>
      </c>
      <c r="C5" s="11" t="s">
        <v>103</v>
      </c>
      <c r="D5" s="11" t="s">
        <v>104</v>
      </c>
    </row>
    <row r="6" spans="1:9" ht="15" customHeight="1" x14ac:dyDescent="0.25">
      <c r="A6" s="18" t="s">
        <v>105</v>
      </c>
      <c r="B6" s="14" t="s">
        <v>106</v>
      </c>
      <c r="C6" s="14" t="s">
        <v>107</v>
      </c>
      <c r="D6" s="14" t="s">
        <v>108</v>
      </c>
    </row>
    <row r="7" spans="1:9" ht="15" customHeight="1" x14ac:dyDescent="0.25">
      <c r="A7" s="18" t="s">
        <v>109</v>
      </c>
      <c r="B7" s="14" t="s">
        <v>110</v>
      </c>
      <c r="C7" s="14" t="s">
        <v>111</v>
      </c>
      <c r="D7" s="14" t="s">
        <v>112</v>
      </c>
    </row>
    <row r="8" spans="1:9" ht="15" customHeight="1" x14ac:dyDescent="0.25">
      <c r="A8" s="18" t="s">
        <v>113</v>
      </c>
      <c r="B8" s="14" t="s">
        <v>114</v>
      </c>
      <c r="C8" s="14" t="s">
        <v>115</v>
      </c>
      <c r="D8" s="14" t="s">
        <v>116</v>
      </c>
    </row>
    <row r="9" spans="1:9" ht="15" customHeight="1" x14ac:dyDescent="0.25">
      <c r="A9" s="18" t="s">
        <v>117</v>
      </c>
      <c r="B9" s="14" t="s">
        <v>118</v>
      </c>
      <c r="C9" s="14" t="s">
        <v>119</v>
      </c>
      <c r="D9" s="14" t="s">
        <v>120</v>
      </c>
    </row>
    <row r="11" spans="1:9" ht="15" customHeight="1" x14ac:dyDescent="0.25">
      <c r="G11" s="6" t="s">
        <v>121</v>
      </c>
      <c r="H11" s="6"/>
      <c r="I11" s="6"/>
    </row>
    <row r="12" spans="1:9" ht="15" customHeight="1" x14ac:dyDescent="0.25">
      <c r="A12" s="11" t="s">
        <v>3</v>
      </c>
      <c r="B12" s="11" t="s">
        <v>122</v>
      </c>
      <c r="C12" s="11" t="s">
        <v>123</v>
      </c>
      <c r="D12" s="11" t="s">
        <v>124</v>
      </c>
      <c r="E12" s="11" t="s">
        <v>111</v>
      </c>
      <c r="F12" s="11" t="s">
        <v>112</v>
      </c>
      <c r="G12" s="11" t="s">
        <v>125</v>
      </c>
      <c r="H12" s="11" t="s">
        <v>126</v>
      </c>
      <c r="I12" s="11" t="s">
        <v>127</v>
      </c>
    </row>
    <row r="13" spans="1:9" ht="15" customHeight="1" x14ac:dyDescent="0.25">
      <c r="A13" s="12">
        <v>1</v>
      </c>
      <c r="B13" s="12" t="s">
        <v>128</v>
      </c>
      <c r="C13" s="12" t="s">
        <v>129</v>
      </c>
      <c r="D13" s="14" t="s">
        <v>130</v>
      </c>
      <c r="E13" s="12" t="str">
        <f>B6</f>
        <v>Đội 10</v>
      </c>
      <c r="F13" s="12" t="str">
        <f>C6</f>
        <v>Đội 4</v>
      </c>
      <c r="G13" s="19">
        <v>1</v>
      </c>
      <c r="H13" s="20">
        <f>'Timeline (5W1H)'!$B$8+(G13-1)*10/1440</f>
        <v>0.42708333333333331</v>
      </c>
      <c r="I13" s="13">
        <f t="shared" ref="I13:I42" si="0">H13+10/1440</f>
        <v>0.43402777777777773</v>
      </c>
    </row>
    <row r="14" spans="1:9" ht="15" customHeight="1" x14ac:dyDescent="0.25">
      <c r="A14" s="12">
        <v>2</v>
      </c>
      <c r="B14" s="12" t="s">
        <v>128</v>
      </c>
      <c r="C14" s="12" t="s">
        <v>131</v>
      </c>
      <c r="D14" s="14" t="s">
        <v>132</v>
      </c>
      <c r="E14" s="12" t="str">
        <f>B8</f>
        <v>Đội 9</v>
      </c>
      <c r="F14" s="12" t="str">
        <f>C8</f>
        <v>Đội 3</v>
      </c>
      <c r="G14" s="19">
        <v>1</v>
      </c>
      <c r="H14" s="20">
        <f>'Timeline (5W1H)'!$B$8+(G14-1)*10/1440</f>
        <v>0.42708333333333331</v>
      </c>
      <c r="I14" s="13">
        <f t="shared" si="0"/>
        <v>0.43402777777777773</v>
      </c>
    </row>
    <row r="15" spans="1:9" ht="15" customHeight="1" x14ac:dyDescent="0.25">
      <c r="A15" s="12">
        <v>3</v>
      </c>
      <c r="B15" s="12" t="s">
        <v>128</v>
      </c>
      <c r="C15" s="12" t="s">
        <v>133</v>
      </c>
      <c r="D15" s="14" t="s">
        <v>130</v>
      </c>
      <c r="E15" s="12" t="str">
        <f>B7</f>
        <v>Đội 12</v>
      </c>
      <c r="F15" s="12" t="str">
        <f>C7</f>
        <v>Đội 1</v>
      </c>
      <c r="G15" s="19">
        <v>2</v>
      </c>
      <c r="H15" s="20">
        <f>'Timeline (5W1H)'!$B$8+(G15-1)*10/1440</f>
        <v>0.43402777777777773</v>
      </c>
      <c r="I15" s="13">
        <f t="shared" si="0"/>
        <v>0.44097222222222215</v>
      </c>
    </row>
    <row r="16" spans="1:9" ht="15" customHeight="1" x14ac:dyDescent="0.25">
      <c r="A16" s="12">
        <v>4</v>
      </c>
      <c r="B16" s="12" t="s">
        <v>128</v>
      </c>
      <c r="C16" s="12" t="s">
        <v>134</v>
      </c>
      <c r="D16" s="14" t="s">
        <v>132</v>
      </c>
      <c r="E16" s="12" t="str">
        <f>B9</f>
        <v>Đội 6</v>
      </c>
      <c r="F16" s="12" t="str">
        <f>C9</f>
        <v>Đội 7</v>
      </c>
      <c r="G16" s="19">
        <v>2</v>
      </c>
      <c r="H16" s="20">
        <f>'Timeline (5W1H)'!$B$8+(G16-1)*10/1440</f>
        <v>0.43402777777777773</v>
      </c>
      <c r="I16" s="13">
        <f t="shared" si="0"/>
        <v>0.44097222222222215</v>
      </c>
    </row>
    <row r="17" spans="1:9" ht="15" customHeight="1" x14ac:dyDescent="0.25">
      <c r="A17" s="12">
        <v>5</v>
      </c>
      <c r="B17" s="12" t="s">
        <v>128</v>
      </c>
      <c r="C17" s="12" t="s">
        <v>135</v>
      </c>
      <c r="D17" s="14" t="s">
        <v>130</v>
      </c>
      <c r="E17" s="12" t="str">
        <f>B6</f>
        <v>Đội 10</v>
      </c>
      <c r="F17" s="12" t="str">
        <f>D6</f>
        <v>Đội 5</v>
      </c>
      <c r="G17" s="19">
        <v>3</v>
      </c>
      <c r="H17" s="20">
        <f>'Timeline (5W1H)'!$B$8+(G17-1)*10/1440</f>
        <v>0.44097222222222221</v>
      </c>
      <c r="I17" s="13">
        <f t="shared" si="0"/>
        <v>0.44791666666666663</v>
      </c>
    </row>
    <row r="18" spans="1:9" ht="15" customHeight="1" x14ac:dyDescent="0.25">
      <c r="A18" s="12">
        <v>6</v>
      </c>
      <c r="B18" s="12" t="s">
        <v>128</v>
      </c>
      <c r="C18" s="12" t="s">
        <v>136</v>
      </c>
      <c r="D18" s="14" t="s">
        <v>132</v>
      </c>
      <c r="E18" s="12" t="str">
        <f>B8</f>
        <v>Đội 9</v>
      </c>
      <c r="F18" s="12" t="str">
        <f>D8</f>
        <v>Đội 8</v>
      </c>
      <c r="G18" s="19">
        <v>3</v>
      </c>
      <c r="H18" s="20">
        <f>'Timeline (5W1H)'!$B$8+(G18-1)*10/1440</f>
        <v>0.44097222222222221</v>
      </c>
      <c r="I18" s="13">
        <f t="shared" si="0"/>
        <v>0.44791666666666663</v>
      </c>
    </row>
    <row r="19" spans="1:9" ht="15" customHeight="1" x14ac:dyDescent="0.25">
      <c r="A19" s="12">
        <v>7</v>
      </c>
      <c r="B19" s="12" t="s">
        <v>128</v>
      </c>
      <c r="C19" s="12" t="s">
        <v>137</v>
      </c>
      <c r="D19" s="14" t="s">
        <v>130</v>
      </c>
      <c r="E19" s="12" t="str">
        <f>B7</f>
        <v>Đội 12</v>
      </c>
      <c r="F19" s="12" t="str">
        <f>D7</f>
        <v>Đội 2</v>
      </c>
      <c r="G19" s="19">
        <v>4</v>
      </c>
      <c r="H19" s="20">
        <f>'Timeline (5W1H)'!$B$8+(G19-1)*10/1440</f>
        <v>0.44791666666666663</v>
      </c>
      <c r="I19" s="13">
        <f t="shared" si="0"/>
        <v>0.45486111111111105</v>
      </c>
    </row>
    <row r="20" spans="1:9" ht="15" customHeight="1" x14ac:dyDescent="0.25">
      <c r="A20" s="12">
        <v>8</v>
      </c>
      <c r="B20" s="12" t="s">
        <v>128</v>
      </c>
      <c r="C20" s="12" t="s">
        <v>138</v>
      </c>
      <c r="D20" s="14" t="s">
        <v>132</v>
      </c>
      <c r="E20" s="12" t="str">
        <f>B9</f>
        <v>Đội 6</v>
      </c>
      <c r="F20" s="12" t="str">
        <f>D9</f>
        <v>Đội 11</v>
      </c>
      <c r="G20" s="19">
        <v>4</v>
      </c>
      <c r="H20" s="20">
        <f>'Timeline (5W1H)'!$B$8+(G20-1)*10/1440</f>
        <v>0.44791666666666663</v>
      </c>
      <c r="I20" s="13">
        <f t="shared" si="0"/>
        <v>0.45486111111111105</v>
      </c>
    </row>
    <row r="21" spans="1:9" ht="15" customHeight="1" x14ac:dyDescent="0.25">
      <c r="A21" s="12">
        <v>9</v>
      </c>
      <c r="B21" s="12" t="s">
        <v>128</v>
      </c>
      <c r="C21" s="12" t="s">
        <v>139</v>
      </c>
      <c r="D21" s="14" t="s">
        <v>130</v>
      </c>
      <c r="E21" s="12" t="str">
        <f>C6</f>
        <v>Đội 4</v>
      </c>
      <c r="F21" s="12" t="str">
        <f>D6</f>
        <v>Đội 5</v>
      </c>
      <c r="G21" s="19">
        <v>5</v>
      </c>
      <c r="H21" s="20">
        <f>'Timeline (5W1H)'!$B$8+(G21-1)*10/1440</f>
        <v>0.4548611111111111</v>
      </c>
      <c r="I21" s="13">
        <f t="shared" si="0"/>
        <v>0.46180555555555552</v>
      </c>
    </row>
    <row r="22" spans="1:9" ht="15" customHeight="1" x14ac:dyDescent="0.25">
      <c r="A22" s="12">
        <v>10</v>
      </c>
      <c r="B22" s="12" t="s">
        <v>128</v>
      </c>
      <c r="C22" s="12" t="s">
        <v>140</v>
      </c>
      <c r="D22" s="14" t="s">
        <v>132</v>
      </c>
      <c r="E22" s="12" t="str">
        <f>C8</f>
        <v>Đội 3</v>
      </c>
      <c r="F22" s="12" t="str">
        <f>D8</f>
        <v>Đội 8</v>
      </c>
      <c r="G22" s="19">
        <v>5</v>
      </c>
      <c r="H22" s="20">
        <f>'Timeline (5W1H)'!$B$8+(G22-1)*10/1440</f>
        <v>0.4548611111111111</v>
      </c>
      <c r="I22" s="13">
        <f t="shared" si="0"/>
        <v>0.46180555555555552</v>
      </c>
    </row>
    <row r="23" spans="1:9" ht="15" customHeight="1" x14ac:dyDescent="0.25">
      <c r="A23" s="12">
        <v>11</v>
      </c>
      <c r="B23" s="12" t="s">
        <v>128</v>
      </c>
      <c r="C23" s="12" t="s">
        <v>141</v>
      </c>
      <c r="D23" s="14" t="s">
        <v>130</v>
      </c>
      <c r="E23" s="12" t="str">
        <f>C7</f>
        <v>Đội 1</v>
      </c>
      <c r="F23" s="12" t="str">
        <f>D7</f>
        <v>Đội 2</v>
      </c>
      <c r="G23" s="19">
        <v>6</v>
      </c>
      <c r="H23" s="20">
        <f>'Timeline (5W1H)'!$B$8+(G23-1)*10/1440</f>
        <v>0.46180555555555552</v>
      </c>
      <c r="I23" s="13">
        <f t="shared" si="0"/>
        <v>0.46874999999999994</v>
      </c>
    </row>
    <row r="24" spans="1:9" ht="15" customHeight="1" x14ac:dyDescent="0.25">
      <c r="A24" s="12">
        <v>12</v>
      </c>
      <c r="B24" s="12" t="s">
        <v>128</v>
      </c>
      <c r="C24" s="12" t="s">
        <v>142</v>
      </c>
      <c r="D24" s="14" t="s">
        <v>132</v>
      </c>
      <c r="E24" s="12" t="str">
        <f>C9</f>
        <v>Đội 7</v>
      </c>
      <c r="F24" s="12" t="str">
        <f>D9</f>
        <v>Đội 11</v>
      </c>
      <c r="G24" s="19">
        <v>6</v>
      </c>
      <c r="H24" s="20">
        <f>'Timeline (5W1H)'!$B$8+(G24-1)*10/1440</f>
        <v>0.46180555555555552</v>
      </c>
      <c r="I24" s="13">
        <f t="shared" si="0"/>
        <v>0.46874999999999994</v>
      </c>
    </row>
    <row r="25" spans="1:9" ht="15" customHeight="1" x14ac:dyDescent="0.25">
      <c r="A25" s="12">
        <v>13</v>
      </c>
      <c r="B25" s="12" t="s">
        <v>143</v>
      </c>
      <c r="C25" s="12" t="s">
        <v>129</v>
      </c>
      <c r="D25" s="14" t="s">
        <v>144</v>
      </c>
      <c r="E25" s="12" t="str">
        <f t="shared" ref="E25:F28" si="1">B6</f>
        <v>Đội 10</v>
      </c>
      <c r="F25" s="12" t="str">
        <f t="shared" si="1"/>
        <v>Đội 4</v>
      </c>
      <c r="G25" s="19">
        <v>1</v>
      </c>
      <c r="H25" s="20">
        <f>'Timeline (5W1H)'!$B$15+(G25-1)*10/1440</f>
        <v>0.47569444444444425</v>
      </c>
      <c r="I25" s="13">
        <f t="shared" si="0"/>
        <v>0.48263888888888867</v>
      </c>
    </row>
    <row r="26" spans="1:9" ht="15" customHeight="1" x14ac:dyDescent="0.25">
      <c r="A26" s="12">
        <v>14</v>
      </c>
      <c r="B26" s="12" t="s">
        <v>143</v>
      </c>
      <c r="C26" s="12" t="s">
        <v>133</v>
      </c>
      <c r="D26" s="14" t="s">
        <v>145</v>
      </c>
      <c r="E26" s="12" t="str">
        <f t="shared" si="1"/>
        <v>Đội 12</v>
      </c>
      <c r="F26" s="12" t="str">
        <f t="shared" si="1"/>
        <v>Đội 1</v>
      </c>
      <c r="G26" s="19">
        <v>1</v>
      </c>
      <c r="H26" s="20">
        <f>'Timeline (5W1H)'!$B$15+(G26-1)*10/1440</f>
        <v>0.47569444444444425</v>
      </c>
      <c r="I26" s="13">
        <f t="shared" si="0"/>
        <v>0.48263888888888867</v>
      </c>
    </row>
    <row r="27" spans="1:9" ht="15" customHeight="1" x14ac:dyDescent="0.25">
      <c r="A27" s="12">
        <v>15</v>
      </c>
      <c r="B27" s="12" t="s">
        <v>143</v>
      </c>
      <c r="C27" s="12" t="s">
        <v>131</v>
      </c>
      <c r="D27" s="14" t="s">
        <v>146</v>
      </c>
      <c r="E27" s="12" t="str">
        <f t="shared" si="1"/>
        <v>Đội 9</v>
      </c>
      <c r="F27" s="12" t="str">
        <f t="shared" si="1"/>
        <v>Đội 3</v>
      </c>
      <c r="G27" s="19">
        <v>1</v>
      </c>
      <c r="H27" s="20">
        <f>'Timeline (5W1H)'!$B$15+(G27-1)*10/1440</f>
        <v>0.47569444444444425</v>
      </c>
      <c r="I27" s="13">
        <f t="shared" si="0"/>
        <v>0.48263888888888867</v>
      </c>
    </row>
    <row r="28" spans="1:9" ht="15" customHeight="1" x14ac:dyDescent="0.25">
      <c r="A28" s="12">
        <v>16</v>
      </c>
      <c r="B28" s="12" t="s">
        <v>143</v>
      </c>
      <c r="C28" s="12" t="s">
        <v>134</v>
      </c>
      <c r="D28" s="14" t="s">
        <v>144</v>
      </c>
      <c r="E28" s="12" t="str">
        <f t="shared" si="1"/>
        <v>Đội 6</v>
      </c>
      <c r="F28" s="12" t="str">
        <f t="shared" si="1"/>
        <v>Đội 7</v>
      </c>
      <c r="G28" s="19">
        <v>2</v>
      </c>
      <c r="H28" s="20">
        <f>'Timeline (5W1H)'!$B$15+(G28-1)*10/1440</f>
        <v>0.48263888888888867</v>
      </c>
      <c r="I28" s="13">
        <f t="shared" si="0"/>
        <v>0.48958333333333309</v>
      </c>
    </row>
    <row r="29" spans="1:9" ht="15" customHeight="1" x14ac:dyDescent="0.25">
      <c r="A29" s="12">
        <v>17</v>
      </c>
      <c r="B29" s="12" t="s">
        <v>143</v>
      </c>
      <c r="C29" s="12" t="s">
        <v>135</v>
      </c>
      <c r="D29" s="14" t="s">
        <v>145</v>
      </c>
      <c r="E29" s="12" t="str">
        <f>B6</f>
        <v>Đội 10</v>
      </c>
      <c r="F29" s="12" t="str">
        <f>D6</f>
        <v>Đội 5</v>
      </c>
      <c r="G29" s="19">
        <v>2</v>
      </c>
      <c r="H29" s="20">
        <f>'Timeline (5W1H)'!$B$15+(G29-1)*10/1440</f>
        <v>0.48263888888888867</v>
      </c>
      <c r="I29" s="13">
        <f t="shared" si="0"/>
        <v>0.48958333333333309</v>
      </c>
    </row>
    <row r="30" spans="1:9" ht="15" customHeight="1" x14ac:dyDescent="0.25">
      <c r="A30" s="12">
        <v>18</v>
      </c>
      <c r="B30" s="12" t="s">
        <v>143</v>
      </c>
      <c r="C30" s="12" t="s">
        <v>137</v>
      </c>
      <c r="D30" s="14" t="s">
        <v>146</v>
      </c>
      <c r="E30" s="12" t="str">
        <f>B7</f>
        <v>Đội 12</v>
      </c>
      <c r="F30" s="12" t="str">
        <f>D7</f>
        <v>Đội 2</v>
      </c>
      <c r="G30" s="19">
        <v>2</v>
      </c>
      <c r="H30" s="20">
        <f>'Timeline (5W1H)'!$B$15+(G30-1)*10/1440</f>
        <v>0.48263888888888867</v>
      </c>
      <c r="I30" s="13">
        <f t="shared" si="0"/>
        <v>0.48958333333333309</v>
      </c>
    </row>
    <row r="31" spans="1:9" ht="15" customHeight="1" x14ac:dyDescent="0.25">
      <c r="A31" s="12">
        <v>19</v>
      </c>
      <c r="B31" s="12" t="s">
        <v>143</v>
      </c>
      <c r="C31" s="12" t="s">
        <v>136</v>
      </c>
      <c r="D31" s="14" t="s">
        <v>144</v>
      </c>
      <c r="E31" s="12" t="str">
        <f>B8</f>
        <v>Đội 9</v>
      </c>
      <c r="F31" s="12" t="str">
        <f>D8</f>
        <v>Đội 8</v>
      </c>
      <c r="G31" s="19">
        <v>3</v>
      </c>
      <c r="H31" s="20">
        <f>'Timeline (5W1H)'!$B$15+(G31-1)*10/1440</f>
        <v>0.48958333333333315</v>
      </c>
      <c r="I31" s="13">
        <f t="shared" si="0"/>
        <v>0.49652777777777757</v>
      </c>
    </row>
    <row r="32" spans="1:9" ht="15" customHeight="1" x14ac:dyDescent="0.25">
      <c r="A32" s="12">
        <v>20</v>
      </c>
      <c r="B32" s="12" t="s">
        <v>143</v>
      </c>
      <c r="C32" s="12" t="s">
        <v>138</v>
      </c>
      <c r="D32" s="14" t="s">
        <v>145</v>
      </c>
      <c r="E32" s="12" t="str">
        <f>B9</f>
        <v>Đội 6</v>
      </c>
      <c r="F32" s="12" t="str">
        <f>D9</f>
        <v>Đội 11</v>
      </c>
      <c r="G32" s="19">
        <v>3</v>
      </c>
      <c r="H32" s="20">
        <f>'Timeline (5W1H)'!$B$15+(G32-1)*10/1440</f>
        <v>0.48958333333333315</v>
      </c>
      <c r="I32" s="13">
        <f t="shared" si="0"/>
        <v>0.49652777777777757</v>
      </c>
    </row>
    <row r="33" spans="1:9" ht="15" customHeight="1" x14ac:dyDescent="0.25">
      <c r="A33" s="12">
        <v>21</v>
      </c>
      <c r="B33" s="12" t="s">
        <v>143</v>
      </c>
      <c r="C33" s="12" t="s">
        <v>139</v>
      </c>
      <c r="D33" s="14" t="s">
        <v>146</v>
      </c>
      <c r="E33" s="12" t="str">
        <f t="shared" ref="E33:F36" si="2">C6</f>
        <v>Đội 4</v>
      </c>
      <c r="F33" s="12" t="str">
        <f t="shared" si="2"/>
        <v>Đội 5</v>
      </c>
      <c r="G33" s="19">
        <v>3</v>
      </c>
      <c r="H33" s="20">
        <f>'Timeline (5W1H)'!$B$15+(G33-1)*10/1440</f>
        <v>0.48958333333333315</v>
      </c>
      <c r="I33" s="13">
        <f t="shared" si="0"/>
        <v>0.49652777777777757</v>
      </c>
    </row>
    <row r="34" spans="1:9" ht="15" customHeight="1" x14ac:dyDescent="0.25">
      <c r="A34" s="12">
        <v>22</v>
      </c>
      <c r="B34" s="12" t="s">
        <v>143</v>
      </c>
      <c r="C34" s="12" t="s">
        <v>141</v>
      </c>
      <c r="D34" s="14" t="s">
        <v>144</v>
      </c>
      <c r="E34" s="12" t="str">
        <f t="shared" si="2"/>
        <v>Đội 1</v>
      </c>
      <c r="F34" s="12" t="str">
        <f t="shared" si="2"/>
        <v>Đội 2</v>
      </c>
      <c r="G34" s="19">
        <v>4</v>
      </c>
      <c r="H34" s="20">
        <f>'Timeline (5W1H)'!$B$15+(G34-1)*10/1440</f>
        <v>0.49652777777777757</v>
      </c>
      <c r="I34" s="13">
        <f t="shared" si="0"/>
        <v>0.50347222222222199</v>
      </c>
    </row>
    <row r="35" spans="1:9" ht="15" customHeight="1" x14ac:dyDescent="0.25">
      <c r="A35" s="12">
        <v>23</v>
      </c>
      <c r="B35" s="12" t="s">
        <v>143</v>
      </c>
      <c r="C35" s="12" t="s">
        <v>140</v>
      </c>
      <c r="D35" s="14" t="s">
        <v>145</v>
      </c>
      <c r="E35" s="12" t="str">
        <f t="shared" si="2"/>
        <v>Đội 3</v>
      </c>
      <c r="F35" s="12" t="str">
        <f t="shared" si="2"/>
        <v>Đội 8</v>
      </c>
      <c r="G35" s="19">
        <v>4</v>
      </c>
      <c r="H35" s="20">
        <f>'Timeline (5W1H)'!$B$15+(G35-1)*10/1440</f>
        <v>0.49652777777777757</v>
      </c>
      <c r="I35" s="13">
        <f t="shared" si="0"/>
        <v>0.50347222222222199</v>
      </c>
    </row>
    <row r="36" spans="1:9" ht="15" customHeight="1" x14ac:dyDescent="0.25">
      <c r="A36" s="12">
        <v>24</v>
      </c>
      <c r="B36" s="12" t="s">
        <v>143</v>
      </c>
      <c r="C36" s="12" t="s">
        <v>142</v>
      </c>
      <c r="D36" s="14" t="s">
        <v>146</v>
      </c>
      <c r="E36" s="12" t="str">
        <f t="shared" si="2"/>
        <v>Đội 7</v>
      </c>
      <c r="F36" s="12" t="str">
        <f t="shared" si="2"/>
        <v>Đội 11</v>
      </c>
      <c r="G36" s="19">
        <v>4</v>
      </c>
      <c r="H36" s="20">
        <f>'Timeline (5W1H)'!$B$15+(G36-1)*10/1440</f>
        <v>0.49652777777777757</v>
      </c>
      <c r="I36" s="13">
        <f t="shared" si="0"/>
        <v>0.50347222222222199</v>
      </c>
    </row>
    <row r="37" spans="1:9" ht="15" customHeight="1" x14ac:dyDescent="0.25">
      <c r="A37" s="12">
        <v>25</v>
      </c>
      <c r="B37" s="12" t="s">
        <v>128</v>
      </c>
      <c r="C37" s="18" t="s">
        <v>147</v>
      </c>
      <c r="D37" s="14" t="s">
        <v>130</v>
      </c>
      <c r="E37" s="21" t="str">
        <f>INDEX('Tổng kết'!$C$6:$C$8,MATCH(1,'Tổng kết'!$I$6:$I$8,0))</f>
        <v>Đội 10</v>
      </c>
      <c r="F37" s="21" t="str">
        <f>INDEX('Tổng kết'!$C$9:$C$11,MATCH(1,'Tổng kết'!$I$9:$I$11,0))</f>
        <v>Đội 12</v>
      </c>
      <c r="G37" s="12" t="s">
        <v>148</v>
      </c>
      <c r="H37" s="20">
        <f>'Timeline (5W1H)'!$B$20</f>
        <v>0.51041666666666641</v>
      </c>
      <c r="I37" s="13">
        <f t="shared" si="0"/>
        <v>0.51736111111111083</v>
      </c>
    </row>
    <row r="38" spans="1:9" ht="15" customHeight="1" x14ac:dyDescent="0.25">
      <c r="A38" s="12">
        <v>26</v>
      </c>
      <c r="B38" s="12" t="s">
        <v>128</v>
      </c>
      <c r="C38" s="18" t="s">
        <v>149</v>
      </c>
      <c r="D38" s="14" t="s">
        <v>132</v>
      </c>
      <c r="E38" s="21" t="str">
        <f>INDEX('Tổng kết'!$C$12:$C$14,MATCH(1,'Tổng kết'!$I$12:$I$14,0))</f>
        <v>Đội 9</v>
      </c>
      <c r="F38" s="21" t="str">
        <f>INDEX('Tổng kết'!$C$15:$C$17,MATCH(1,'Tổng kết'!$I$15:$I$17,0))</f>
        <v>Đội 6</v>
      </c>
      <c r="G38" s="12" t="s">
        <v>148</v>
      </c>
      <c r="H38" s="20">
        <f>'Timeline (5W1H)'!$B$20</f>
        <v>0.51041666666666641</v>
      </c>
      <c r="I38" s="13">
        <f t="shared" si="0"/>
        <v>0.51736111111111083</v>
      </c>
    </row>
    <row r="39" spans="1:9" ht="15" customHeight="1" x14ac:dyDescent="0.25">
      <c r="A39" s="12">
        <v>27</v>
      </c>
      <c r="B39" s="12" t="s">
        <v>143</v>
      </c>
      <c r="C39" s="18" t="s">
        <v>147</v>
      </c>
      <c r="D39" s="14" t="s">
        <v>144</v>
      </c>
      <c r="E39" s="21" t="str">
        <f>INDEX('Tổng kết'!$C$18:$C$20,MATCH(1,'Tổng kết'!$I$18:$I$20,0))</f>
        <v>Đội 10</v>
      </c>
      <c r="F39" s="21" t="str">
        <f>INDEX('Tổng kết'!$C$21:$C$23,MATCH(1,'Tổng kết'!$I$21:$I$23,0))</f>
        <v>Đội 12</v>
      </c>
      <c r="G39" s="12" t="s">
        <v>148</v>
      </c>
      <c r="H39" s="20">
        <f>'Timeline (5W1H)'!$B$21</f>
        <v>0.51736111111111083</v>
      </c>
      <c r="I39" s="13">
        <f t="shared" si="0"/>
        <v>0.52430555555555525</v>
      </c>
    </row>
    <row r="40" spans="1:9" ht="15" customHeight="1" x14ac:dyDescent="0.25">
      <c r="A40" s="12">
        <v>28</v>
      </c>
      <c r="B40" s="12" t="s">
        <v>143</v>
      </c>
      <c r="C40" s="18" t="s">
        <v>149</v>
      </c>
      <c r="D40" s="14" t="s">
        <v>145</v>
      </c>
      <c r="E40" s="21" t="str">
        <f>INDEX('Tổng kết'!$C$24:$C$26,MATCH(1,'Tổng kết'!$I$24:$I$26,0))</f>
        <v>Đội 9</v>
      </c>
      <c r="F40" s="21" t="str">
        <f>INDEX('Tổng kết'!$C$27:$C$29,MATCH(1,'Tổng kết'!$I$27:$I$29,0))</f>
        <v>Đội 6</v>
      </c>
      <c r="G40" s="12" t="s">
        <v>148</v>
      </c>
      <c r="H40" s="20">
        <f>'Timeline (5W1H)'!$B$21</f>
        <v>0.51736111111111083</v>
      </c>
      <c r="I40" s="13">
        <f t="shared" si="0"/>
        <v>0.52430555555555525</v>
      </c>
    </row>
    <row r="41" spans="1:9" ht="15" customHeight="1" x14ac:dyDescent="0.25">
      <c r="A41" s="12">
        <v>29</v>
      </c>
      <c r="B41" s="12" t="s">
        <v>128</v>
      </c>
      <c r="C41" s="18" t="s">
        <v>150</v>
      </c>
      <c r="D41" s="14" t="s">
        <v>130</v>
      </c>
      <c r="E41" s="21" t="str">
        <f>'Nhập kết quả'!I29</f>
        <v/>
      </c>
      <c r="F41" s="21" t="str">
        <f>'Nhập kết quả'!I30</f>
        <v/>
      </c>
      <c r="G41" s="12" t="s">
        <v>148</v>
      </c>
      <c r="H41" s="20">
        <f>'Timeline (5W1H)'!$B$23</f>
        <v>0.53124999999999967</v>
      </c>
      <c r="I41" s="13">
        <f t="shared" si="0"/>
        <v>0.53819444444444409</v>
      </c>
    </row>
    <row r="42" spans="1:9" ht="15" customHeight="1" x14ac:dyDescent="0.25">
      <c r="A42" s="12">
        <v>30</v>
      </c>
      <c r="B42" s="12" t="s">
        <v>143</v>
      </c>
      <c r="C42" s="18" t="s">
        <v>150</v>
      </c>
      <c r="D42" s="14" t="s">
        <v>144</v>
      </c>
      <c r="E42" s="21" t="str">
        <f>'Nhập kết quả'!I31</f>
        <v/>
      </c>
      <c r="F42" s="21" t="str">
        <f>'Nhập kết quả'!I32</f>
        <v/>
      </c>
      <c r="G42" s="12" t="s">
        <v>148</v>
      </c>
      <c r="H42" s="20">
        <f>'Timeline (5W1H)'!$B$24</f>
        <v>0.53819444444444409</v>
      </c>
      <c r="I42" s="13">
        <f t="shared" si="0"/>
        <v>0.54513888888888851</v>
      </c>
    </row>
  </sheetData>
  <mergeCells count="4">
    <mergeCell ref="A1:I1"/>
    <mergeCell ref="A2:I2"/>
    <mergeCell ref="A4:D4"/>
    <mergeCell ref="G11:I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4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0" customWidth="1"/>
    <col min="3" max="3" width="24" customWidth="1"/>
    <col min="4" max="5" width="12" customWidth="1"/>
    <col min="6" max="7" width="8" customWidth="1"/>
    <col min="8" max="8" width="16" customWidth="1"/>
    <col min="9" max="10" width="12" customWidth="1"/>
    <col min="11" max="11" width="20" customWidth="1"/>
  </cols>
  <sheetData>
    <row r="1" spans="1:11" ht="19.5" customHeight="1" x14ac:dyDescent="0.3">
      <c r="A1" s="10" t="s">
        <v>151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15" customHeight="1" x14ac:dyDescent="0.25">
      <c r="A2" s="9" t="s">
        <v>152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15" customHeight="1" x14ac:dyDescent="0.25">
      <c r="A3" s="5" t="s">
        <v>153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spans="1:11" ht="31.5" customHeight="1" x14ac:dyDescent="0.25">
      <c r="A4" s="11" t="s">
        <v>3</v>
      </c>
      <c r="B4" s="11" t="s">
        <v>122</v>
      </c>
      <c r="C4" s="11" t="s">
        <v>123</v>
      </c>
      <c r="D4" s="11" t="s">
        <v>111</v>
      </c>
      <c r="E4" s="11" t="s">
        <v>112</v>
      </c>
      <c r="F4" s="11" t="s">
        <v>154</v>
      </c>
      <c r="G4" s="11" t="s">
        <v>155</v>
      </c>
      <c r="H4" s="11" t="s">
        <v>156</v>
      </c>
      <c r="I4" s="11" t="s">
        <v>157</v>
      </c>
      <c r="J4" s="11" t="s">
        <v>158</v>
      </c>
      <c r="K4" s="11" t="s">
        <v>159</v>
      </c>
    </row>
    <row r="5" spans="1:11" ht="15" customHeight="1" x14ac:dyDescent="0.25">
      <c r="A5" s="17">
        <f>'Lịch thi đấu'!A13</f>
        <v>1</v>
      </c>
      <c r="B5" s="17" t="str">
        <f>'Lịch thi đấu'!B13</f>
        <v>Bóng né</v>
      </c>
      <c r="C5" s="17" t="str">
        <f>'Lịch thi đấu'!C13</f>
        <v>Vòng bảng — Bảng A (vòng 1)</v>
      </c>
      <c r="D5" s="17" t="str">
        <f>'Lịch thi đấu'!E13</f>
        <v>Đội 10</v>
      </c>
      <c r="E5" s="17" t="str">
        <f>'Lịch thi đấu'!F13</f>
        <v>Đội 4</v>
      </c>
      <c r="F5" s="14"/>
      <c r="G5" s="14"/>
      <c r="H5" s="19"/>
      <c r="I5" s="22" t="str">
        <f t="shared" ref="I5:I34" si="0">IF(H5&lt;&gt;"",H5,IF(OR(F5="",G5=""),"",IF(F5&gt;G5,D5,IF(G5&gt;F5,E5,"Hòa"))))</f>
        <v/>
      </c>
      <c r="J5" s="12" t="str">
        <f t="shared" ref="J5:J34" si="1">IF(H5&lt;&gt;"",IF(H5=D5,E5,D5),IF(OR(F5="",G5=""),"",IF(F5&gt;G5,E5,IF(G5&gt;F5,D5,"Hòa"))))</f>
        <v/>
      </c>
      <c r="K5" s="23"/>
    </row>
    <row r="6" spans="1:11" ht="15" customHeight="1" x14ac:dyDescent="0.25">
      <c r="A6" s="17">
        <f>'Lịch thi đấu'!A14</f>
        <v>2</v>
      </c>
      <c r="B6" s="17" t="str">
        <f>'Lịch thi đấu'!B14</f>
        <v>Bóng né</v>
      </c>
      <c r="C6" s="17" t="str">
        <f>'Lịch thi đấu'!C14</f>
        <v>Vòng bảng — Bảng C (vòng 1)</v>
      </c>
      <c r="D6" s="17" t="str">
        <f>'Lịch thi đấu'!E14</f>
        <v>Đội 9</v>
      </c>
      <c r="E6" s="17" t="str">
        <f>'Lịch thi đấu'!F14</f>
        <v>Đội 3</v>
      </c>
      <c r="F6" s="14"/>
      <c r="G6" s="14"/>
      <c r="H6" s="19"/>
      <c r="I6" s="22" t="str">
        <f t="shared" si="0"/>
        <v/>
      </c>
      <c r="J6" s="12" t="str">
        <f t="shared" si="1"/>
        <v/>
      </c>
      <c r="K6" s="23"/>
    </row>
    <row r="7" spans="1:11" ht="15" customHeight="1" x14ac:dyDescent="0.25">
      <c r="A7" s="17">
        <f>'Lịch thi đấu'!A15</f>
        <v>3</v>
      </c>
      <c r="B7" s="17" t="str">
        <f>'Lịch thi đấu'!B15</f>
        <v>Bóng né</v>
      </c>
      <c r="C7" s="17" t="str">
        <f>'Lịch thi đấu'!C15</f>
        <v>Vòng bảng — Bảng B (vòng 1)</v>
      </c>
      <c r="D7" s="17" t="str">
        <f>'Lịch thi đấu'!E15</f>
        <v>Đội 12</v>
      </c>
      <c r="E7" s="17" t="str">
        <f>'Lịch thi đấu'!F15</f>
        <v>Đội 1</v>
      </c>
      <c r="F7" s="14"/>
      <c r="G7" s="14"/>
      <c r="H7" s="19"/>
      <c r="I7" s="22" t="str">
        <f t="shared" si="0"/>
        <v/>
      </c>
      <c r="J7" s="12" t="str">
        <f t="shared" si="1"/>
        <v/>
      </c>
      <c r="K7" s="23"/>
    </row>
    <row r="8" spans="1:11" ht="15" customHeight="1" x14ac:dyDescent="0.25">
      <c r="A8" s="17">
        <f>'Lịch thi đấu'!A16</f>
        <v>4</v>
      </c>
      <c r="B8" s="17" t="str">
        <f>'Lịch thi đấu'!B16</f>
        <v>Bóng né</v>
      </c>
      <c r="C8" s="17" t="str">
        <f>'Lịch thi đấu'!C16</f>
        <v>Vòng bảng — Bảng D (vòng 1)</v>
      </c>
      <c r="D8" s="17" t="str">
        <f>'Lịch thi đấu'!E16</f>
        <v>Đội 6</v>
      </c>
      <c r="E8" s="17" t="str">
        <f>'Lịch thi đấu'!F16</f>
        <v>Đội 7</v>
      </c>
      <c r="F8" s="14"/>
      <c r="G8" s="14"/>
      <c r="H8" s="19"/>
      <c r="I8" s="22" t="str">
        <f t="shared" si="0"/>
        <v/>
      </c>
      <c r="J8" s="12" t="str">
        <f t="shared" si="1"/>
        <v/>
      </c>
      <c r="K8" s="23"/>
    </row>
    <row r="9" spans="1:11" ht="15" customHeight="1" x14ac:dyDescent="0.25">
      <c r="A9" s="17">
        <f>'Lịch thi đấu'!A17</f>
        <v>5</v>
      </c>
      <c r="B9" s="17" t="str">
        <f>'Lịch thi đấu'!B17</f>
        <v>Bóng né</v>
      </c>
      <c r="C9" s="17" t="str">
        <f>'Lịch thi đấu'!C17</f>
        <v>Vòng bảng — Bảng A (vòng 2)</v>
      </c>
      <c r="D9" s="17" t="str">
        <f>'Lịch thi đấu'!E17</f>
        <v>Đội 10</v>
      </c>
      <c r="E9" s="17" t="str">
        <f>'Lịch thi đấu'!F17</f>
        <v>Đội 5</v>
      </c>
      <c r="F9" s="14"/>
      <c r="G9" s="14"/>
      <c r="H9" s="19"/>
      <c r="I9" s="22" t="str">
        <f t="shared" si="0"/>
        <v/>
      </c>
      <c r="J9" s="12" t="str">
        <f t="shared" si="1"/>
        <v/>
      </c>
      <c r="K9" s="23"/>
    </row>
    <row r="10" spans="1:11" ht="15" customHeight="1" x14ac:dyDescent="0.25">
      <c r="A10" s="17">
        <f>'Lịch thi đấu'!A18</f>
        <v>6</v>
      </c>
      <c r="B10" s="17" t="str">
        <f>'Lịch thi đấu'!B18</f>
        <v>Bóng né</v>
      </c>
      <c r="C10" s="17" t="str">
        <f>'Lịch thi đấu'!C18</f>
        <v>Vòng bảng — Bảng C (vòng 2)</v>
      </c>
      <c r="D10" s="17" t="str">
        <f>'Lịch thi đấu'!E18</f>
        <v>Đội 9</v>
      </c>
      <c r="E10" s="17" t="str">
        <f>'Lịch thi đấu'!F18</f>
        <v>Đội 8</v>
      </c>
      <c r="F10" s="14"/>
      <c r="G10" s="14"/>
      <c r="H10" s="19"/>
      <c r="I10" s="22" t="str">
        <f t="shared" si="0"/>
        <v/>
      </c>
      <c r="J10" s="12" t="str">
        <f t="shared" si="1"/>
        <v/>
      </c>
      <c r="K10" s="23"/>
    </row>
    <row r="11" spans="1:11" ht="15" customHeight="1" x14ac:dyDescent="0.25">
      <c r="A11" s="17">
        <f>'Lịch thi đấu'!A19</f>
        <v>7</v>
      </c>
      <c r="B11" s="17" t="str">
        <f>'Lịch thi đấu'!B19</f>
        <v>Bóng né</v>
      </c>
      <c r="C11" s="17" t="str">
        <f>'Lịch thi đấu'!C19</f>
        <v>Vòng bảng — Bảng B (vòng 2)</v>
      </c>
      <c r="D11" s="17" t="str">
        <f>'Lịch thi đấu'!E19</f>
        <v>Đội 12</v>
      </c>
      <c r="E11" s="17" t="str">
        <f>'Lịch thi đấu'!F19</f>
        <v>Đội 2</v>
      </c>
      <c r="F11" s="14"/>
      <c r="G11" s="14"/>
      <c r="H11" s="19"/>
      <c r="I11" s="22" t="str">
        <f t="shared" si="0"/>
        <v/>
      </c>
      <c r="J11" s="12" t="str">
        <f t="shared" si="1"/>
        <v/>
      </c>
      <c r="K11" s="23"/>
    </row>
    <row r="12" spans="1:11" ht="15" customHeight="1" x14ac:dyDescent="0.25">
      <c r="A12" s="17">
        <f>'Lịch thi đấu'!A20</f>
        <v>8</v>
      </c>
      <c r="B12" s="17" t="str">
        <f>'Lịch thi đấu'!B20</f>
        <v>Bóng né</v>
      </c>
      <c r="C12" s="17" t="str">
        <f>'Lịch thi đấu'!C20</f>
        <v>Vòng bảng — Bảng D (vòng 2)</v>
      </c>
      <c r="D12" s="17" t="str">
        <f>'Lịch thi đấu'!E20</f>
        <v>Đội 6</v>
      </c>
      <c r="E12" s="17" t="str">
        <f>'Lịch thi đấu'!F20</f>
        <v>Đội 11</v>
      </c>
      <c r="F12" s="14"/>
      <c r="G12" s="14"/>
      <c r="H12" s="19"/>
      <c r="I12" s="22" t="str">
        <f t="shared" si="0"/>
        <v/>
      </c>
      <c r="J12" s="12" t="str">
        <f t="shared" si="1"/>
        <v/>
      </c>
      <c r="K12" s="23"/>
    </row>
    <row r="13" spans="1:11" ht="15" customHeight="1" x14ac:dyDescent="0.25">
      <c r="A13" s="17">
        <f>'Lịch thi đấu'!A21</f>
        <v>9</v>
      </c>
      <c r="B13" s="17" t="str">
        <f>'Lịch thi đấu'!B21</f>
        <v>Bóng né</v>
      </c>
      <c r="C13" s="17" t="str">
        <f>'Lịch thi đấu'!C21</f>
        <v>Vòng bảng — Bảng A (vòng 3)</v>
      </c>
      <c r="D13" s="17" t="str">
        <f>'Lịch thi đấu'!E21</f>
        <v>Đội 4</v>
      </c>
      <c r="E13" s="17" t="str">
        <f>'Lịch thi đấu'!F21</f>
        <v>Đội 5</v>
      </c>
      <c r="F13" s="14"/>
      <c r="G13" s="14"/>
      <c r="H13" s="19"/>
      <c r="I13" s="22" t="str">
        <f t="shared" si="0"/>
        <v/>
      </c>
      <c r="J13" s="12" t="str">
        <f t="shared" si="1"/>
        <v/>
      </c>
      <c r="K13" s="23"/>
    </row>
    <row r="14" spans="1:11" ht="15" customHeight="1" x14ac:dyDescent="0.25">
      <c r="A14" s="17">
        <f>'Lịch thi đấu'!A22</f>
        <v>10</v>
      </c>
      <c r="B14" s="17" t="str">
        <f>'Lịch thi đấu'!B22</f>
        <v>Bóng né</v>
      </c>
      <c r="C14" s="17" t="str">
        <f>'Lịch thi đấu'!C22</f>
        <v>Vòng bảng — Bảng C (vòng 3)</v>
      </c>
      <c r="D14" s="17" t="str">
        <f>'Lịch thi đấu'!E22</f>
        <v>Đội 3</v>
      </c>
      <c r="E14" s="17" t="str">
        <f>'Lịch thi đấu'!F22</f>
        <v>Đội 8</v>
      </c>
      <c r="F14" s="14"/>
      <c r="G14" s="14"/>
      <c r="H14" s="19"/>
      <c r="I14" s="22" t="str">
        <f t="shared" si="0"/>
        <v/>
      </c>
      <c r="J14" s="12" t="str">
        <f t="shared" si="1"/>
        <v/>
      </c>
      <c r="K14" s="23"/>
    </row>
    <row r="15" spans="1:11" ht="15" customHeight="1" x14ac:dyDescent="0.25">
      <c r="A15" s="17">
        <f>'Lịch thi đấu'!A23</f>
        <v>11</v>
      </c>
      <c r="B15" s="17" t="str">
        <f>'Lịch thi đấu'!B23</f>
        <v>Bóng né</v>
      </c>
      <c r="C15" s="17" t="str">
        <f>'Lịch thi đấu'!C23</f>
        <v>Vòng bảng — Bảng B (vòng 3)</v>
      </c>
      <c r="D15" s="17" t="str">
        <f>'Lịch thi đấu'!E23</f>
        <v>Đội 1</v>
      </c>
      <c r="E15" s="17" t="str">
        <f>'Lịch thi đấu'!F23</f>
        <v>Đội 2</v>
      </c>
      <c r="F15" s="14"/>
      <c r="G15" s="14"/>
      <c r="H15" s="19"/>
      <c r="I15" s="22" t="str">
        <f t="shared" si="0"/>
        <v/>
      </c>
      <c r="J15" s="12" t="str">
        <f t="shared" si="1"/>
        <v/>
      </c>
      <c r="K15" s="23"/>
    </row>
    <row r="16" spans="1:11" ht="15" customHeight="1" x14ac:dyDescent="0.25">
      <c r="A16" s="17">
        <f>'Lịch thi đấu'!A24</f>
        <v>12</v>
      </c>
      <c r="B16" s="17" t="str">
        <f>'Lịch thi đấu'!B24</f>
        <v>Bóng né</v>
      </c>
      <c r="C16" s="17" t="str">
        <f>'Lịch thi đấu'!C24</f>
        <v>Vòng bảng — Bảng D (vòng 3)</v>
      </c>
      <c r="D16" s="17" t="str">
        <f>'Lịch thi đấu'!E24</f>
        <v>Đội 7</v>
      </c>
      <c r="E16" s="17" t="str">
        <f>'Lịch thi đấu'!F24</f>
        <v>Đội 11</v>
      </c>
      <c r="F16" s="14"/>
      <c r="G16" s="14"/>
      <c r="H16" s="19"/>
      <c r="I16" s="22" t="str">
        <f t="shared" si="0"/>
        <v/>
      </c>
      <c r="J16" s="12" t="str">
        <f t="shared" si="1"/>
        <v/>
      </c>
      <c r="K16" s="23"/>
    </row>
    <row r="17" spans="1:11" ht="15" customHeight="1" x14ac:dyDescent="0.25">
      <c r="A17" s="17">
        <f>'Lịch thi đấu'!A25</f>
        <v>13</v>
      </c>
      <c r="B17" s="17" t="str">
        <f>'Lịch thi đấu'!B25</f>
        <v>Kéo co</v>
      </c>
      <c r="C17" s="17" t="str">
        <f>'Lịch thi đấu'!C25</f>
        <v>Vòng bảng — Bảng A (vòng 1)</v>
      </c>
      <c r="D17" s="17" t="str">
        <f>'Lịch thi đấu'!E25</f>
        <v>Đội 10</v>
      </c>
      <c r="E17" s="17" t="str">
        <f>'Lịch thi đấu'!F25</f>
        <v>Đội 4</v>
      </c>
      <c r="F17" s="14"/>
      <c r="G17" s="14"/>
      <c r="H17" s="19"/>
      <c r="I17" s="22" t="str">
        <f t="shared" si="0"/>
        <v/>
      </c>
      <c r="J17" s="12" t="str">
        <f t="shared" si="1"/>
        <v/>
      </c>
      <c r="K17" s="23"/>
    </row>
    <row r="18" spans="1:11" ht="15" customHeight="1" x14ac:dyDescent="0.25">
      <c r="A18" s="17">
        <f>'Lịch thi đấu'!A26</f>
        <v>14</v>
      </c>
      <c r="B18" s="17" t="str">
        <f>'Lịch thi đấu'!B26</f>
        <v>Kéo co</v>
      </c>
      <c r="C18" s="17" t="str">
        <f>'Lịch thi đấu'!C26</f>
        <v>Vòng bảng — Bảng B (vòng 1)</v>
      </c>
      <c r="D18" s="17" t="str">
        <f>'Lịch thi đấu'!E26</f>
        <v>Đội 12</v>
      </c>
      <c r="E18" s="17" t="str">
        <f>'Lịch thi đấu'!F26</f>
        <v>Đội 1</v>
      </c>
      <c r="F18" s="14"/>
      <c r="G18" s="14"/>
      <c r="H18" s="19"/>
      <c r="I18" s="22" t="str">
        <f t="shared" si="0"/>
        <v/>
      </c>
      <c r="J18" s="12" t="str">
        <f t="shared" si="1"/>
        <v/>
      </c>
      <c r="K18" s="23"/>
    </row>
    <row r="19" spans="1:11" ht="15" customHeight="1" x14ac:dyDescent="0.25">
      <c r="A19" s="17">
        <f>'Lịch thi đấu'!A27</f>
        <v>15</v>
      </c>
      <c r="B19" s="17" t="str">
        <f>'Lịch thi đấu'!B27</f>
        <v>Kéo co</v>
      </c>
      <c r="C19" s="17" t="str">
        <f>'Lịch thi đấu'!C27</f>
        <v>Vòng bảng — Bảng C (vòng 1)</v>
      </c>
      <c r="D19" s="17" t="str">
        <f>'Lịch thi đấu'!E27</f>
        <v>Đội 9</v>
      </c>
      <c r="E19" s="17" t="str">
        <f>'Lịch thi đấu'!F27</f>
        <v>Đội 3</v>
      </c>
      <c r="F19" s="14"/>
      <c r="G19" s="14"/>
      <c r="H19" s="19"/>
      <c r="I19" s="22" t="str">
        <f t="shared" si="0"/>
        <v/>
      </c>
      <c r="J19" s="12" t="str">
        <f t="shared" si="1"/>
        <v/>
      </c>
      <c r="K19" s="23"/>
    </row>
    <row r="20" spans="1:11" ht="15" customHeight="1" x14ac:dyDescent="0.25">
      <c r="A20" s="17">
        <f>'Lịch thi đấu'!A28</f>
        <v>16</v>
      </c>
      <c r="B20" s="17" t="str">
        <f>'Lịch thi đấu'!B28</f>
        <v>Kéo co</v>
      </c>
      <c r="C20" s="17" t="str">
        <f>'Lịch thi đấu'!C28</f>
        <v>Vòng bảng — Bảng D (vòng 1)</v>
      </c>
      <c r="D20" s="17" t="str">
        <f>'Lịch thi đấu'!E28</f>
        <v>Đội 6</v>
      </c>
      <c r="E20" s="17" t="str">
        <f>'Lịch thi đấu'!F28</f>
        <v>Đội 7</v>
      </c>
      <c r="F20" s="14"/>
      <c r="G20" s="14"/>
      <c r="H20" s="19"/>
      <c r="I20" s="22" t="str">
        <f t="shared" si="0"/>
        <v/>
      </c>
      <c r="J20" s="12" t="str">
        <f t="shared" si="1"/>
        <v/>
      </c>
      <c r="K20" s="23"/>
    </row>
    <row r="21" spans="1:11" ht="15" customHeight="1" x14ac:dyDescent="0.25">
      <c r="A21" s="17">
        <f>'Lịch thi đấu'!A29</f>
        <v>17</v>
      </c>
      <c r="B21" s="17" t="str">
        <f>'Lịch thi đấu'!B29</f>
        <v>Kéo co</v>
      </c>
      <c r="C21" s="17" t="str">
        <f>'Lịch thi đấu'!C29</f>
        <v>Vòng bảng — Bảng A (vòng 2)</v>
      </c>
      <c r="D21" s="17" t="str">
        <f>'Lịch thi đấu'!E29</f>
        <v>Đội 10</v>
      </c>
      <c r="E21" s="17" t="str">
        <f>'Lịch thi đấu'!F29</f>
        <v>Đội 5</v>
      </c>
      <c r="F21" s="14"/>
      <c r="G21" s="14"/>
      <c r="H21" s="19"/>
      <c r="I21" s="22" t="str">
        <f t="shared" si="0"/>
        <v/>
      </c>
      <c r="J21" s="12" t="str">
        <f t="shared" si="1"/>
        <v/>
      </c>
      <c r="K21" s="23"/>
    </row>
    <row r="22" spans="1:11" ht="15" customHeight="1" x14ac:dyDescent="0.25">
      <c r="A22" s="17">
        <f>'Lịch thi đấu'!A30</f>
        <v>18</v>
      </c>
      <c r="B22" s="17" t="str">
        <f>'Lịch thi đấu'!B30</f>
        <v>Kéo co</v>
      </c>
      <c r="C22" s="17" t="str">
        <f>'Lịch thi đấu'!C30</f>
        <v>Vòng bảng — Bảng B (vòng 2)</v>
      </c>
      <c r="D22" s="17" t="str">
        <f>'Lịch thi đấu'!E30</f>
        <v>Đội 12</v>
      </c>
      <c r="E22" s="17" t="str">
        <f>'Lịch thi đấu'!F30</f>
        <v>Đội 2</v>
      </c>
      <c r="F22" s="14"/>
      <c r="G22" s="14"/>
      <c r="H22" s="19"/>
      <c r="I22" s="22" t="str">
        <f t="shared" si="0"/>
        <v/>
      </c>
      <c r="J22" s="12" t="str">
        <f t="shared" si="1"/>
        <v/>
      </c>
      <c r="K22" s="23"/>
    </row>
    <row r="23" spans="1:11" ht="15" customHeight="1" x14ac:dyDescent="0.25">
      <c r="A23" s="17">
        <f>'Lịch thi đấu'!A31</f>
        <v>19</v>
      </c>
      <c r="B23" s="17" t="str">
        <f>'Lịch thi đấu'!B31</f>
        <v>Kéo co</v>
      </c>
      <c r="C23" s="17" t="str">
        <f>'Lịch thi đấu'!C31</f>
        <v>Vòng bảng — Bảng C (vòng 2)</v>
      </c>
      <c r="D23" s="17" t="str">
        <f>'Lịch thi đấu'!E31</f>
        <v>Đội 9</v>
      </c>
      <c r="E23" s="17" t="str">
        <f>'Lịch thi đấu'!F31</f>
        <v>Đội 8</v>
      </c>
      <c r="F23" s="14"/>
      <c r="G23" s="14"/>
      <c r="H23" s="19"/>
      <c r="I23" s="22" t="str">
        <f t="shared" si="0"/>
        <v/>
      </c>
      <c r="J23" s="12" t="str">
        <f t="shared" si="1"/>
        <v/>
      </c>
      <c r="K23" s="23"/>
    </row>
    <row r="24" spans="1:11" ht="15" customHeight="1" x14ac:dyDescent="0.25">
      <c r="A24" s="17">
        <f>'Lịch thi đấu'!A32</f>
        <v>20</v>
      </c>
      <c r="B24" s="17" t="str">
        <f>'Lịch thi đấu'!B32</f>
        <v>Kéo co</v>
      </c>
      <c r="C24" s="17" t="str">
        <f>'Lịch thi đấu'!C32</f>
        <v>Vòng bảng — Bảng D (vòng 2)</v>
      </c>
      <c r="D24" s="17" t="str">
        <f>'Lịch thi đấu'!E32</f>
        <v>Đội 6</v>
      </c>
      <c r="E24" s="17" t="str">
        <f>'Lịch thi đấu'!F32</f>
        <v>Đội 11</v>
      </c>
      <c r="F24" s="14"/>
      <c r="G24" s="14"/>
      <c r="H24" s="19"/>
      <c r="I24" s="22" t="str">
        <f t="shared" si="0"/>
        <v/>
      </c>
      <c r="J24" s="12" t="str">
        <f t="shared" si="1"/>
        <v/>
      </c>
      <c r="K24" s="23"/>
    </row>
    <row r="25" spans="1:11" ht="15" customHeight="1" x14ac:dyDescent="0.25">
      <c r="A25" s="17">
        <f>'Lịch thi đấu'!A33</f>
        <v>21</v>
      </c>
      <c r="B25" s="17" t="str">
        <f>'Lịch thi đấu'!B33</f>
        <v>Kéo co</v>
      </c>
      <c r="C25" s="17" t="str">
        <f>'Lịch thi đấu'!C33</f>
        <v>Vòng bảng — Bảng A (vòng 3)</v>
      </c>
      <c r="D25" s="17" t="str">
        <f>'Lịch thi đấu'!E33</f>
        <v>Đội 4</v>
      </c>
      <c r="E25" s="17" t="str">
        <f>'Lịch thi đấu'!F33</f>
        <v>Đội 5</v>
      </c>
      <c r="F25" s="14"/>
      <c r="G25" s="14"/>
      <c r="H25" s="19"/>
      <c r="I25" s="22" t="str">
        <f t="shared" si="0"/>
        <v/>
      </c>
      <c r="J25" s="12" t="str">
        <f t="shared" si="1"/>
        <v/>
      </c>
      <c r="K25" s="23"/>
    </row>
    <row r="26" spans="1:11" ht="15" customHeight="1" x14ac:dyDescent="0.25">
      <c r="A26" s="17">
        <f>'Lịch thi đấu'!A34</f>
        <v>22</v>
      </c>
      <c r="B26" s="17" t="str">
        <f>'Lịch thi đấu'!B34</f>
        <v>Kéo co</v>
      </c>
      <c r="C26" s="17" t="str">
        <f>'Lịch thi đấu'!C34</f>
        <v>Vòng bảng — Bảng B (vòng 3)</v>
      </c>
      <c r="D26" s="17" t="str">
        <f>'Lịch thi đấu'!E34</f>
        <v>Đội 1</v>
      </c>
      <c r="E26" s="17" t="str">
        <f>'Lịch thi đấu'!F34</f>
        <v>Đội 2</v>
      </c>
      <c r="F26" s="14"/>
      <c r="G26" s="14"/>
      <c r="H26" s="19"/>
      <c r="I26" s="22" t="str">
        <f t="shared" si="0"/>
        <v/>
      </c>
      <c r="J26" s="12" t="str">
        <f t="shared" si="1"/>
        <v/>
      </c>
      <c r="K26" s="23"/>
    </row>
    <row r="27" spans="1:11" ht="15" customHeight="1" x14ac:dyDescent="0.25">
      <c r="A27" s="17">
        <f>'Lịch thi đấu'!A35</f>
        <v>23</v>
      </c>
      <c r="B27" s="17" t="str">
        <f>'Lịch thi đấu'!B35</f>
        <v>Kéo co</v>
      </c>
      <c r="C27" s="17" t="str">
        <f>'Lịch thi đấu'!C35</f>
        <v>Vòng bảng — Bảng C (vòng 3)</v>
      </c>
      <c r="D27" s="17" t="str">
        <f>'Lịch thi đấu'!E35</f>
        <v>Đội 3</v>
      </c>
      <c r="E27" s="17" t="str">
        <f>'Lịch thi đấu'!F35</f>
        <v>Đội 8</v>
      </c>
      <c r="F27" s="14"/>
      <c r="G27" s="14"/>
      <c r="H27" s="19"/>
      <c r="I27" s="22" t="str">
        <f t="shared" si="0"/>
        <v/>
      </c>
      <c r="J27" s="12" t="str">
        <f t="shared" si="1"/>
        <v/>
      </c>
      <c r="K27" s="23"/>
    </row>
    <row r="28" spans="1:11" ht="15" customHeight="1" x14ac:dyDescent="0.25">
      <c r="A28" s="17">
        <f>'Lịch thi đấu'!A36</f>
        <v>24</v>
      </c>
      <c r="B28" s="17" t="str">
        <f>'Lịch thi đấu'!B36</f>
        <v>Kéo co</v>
      </c>
      <c r="C28" s="17" t="str">
        <f>'Lịch thi đấu'!C36</f>
        <v>Vòng bảng — Bảng D (vòng 3)</v>
      </c>
      <c r="D28" s="17" t="str">
        <f>'Lịch thi đấu'!E36</f>
        <v>Đội 7</v>
      </c>
      <c r="E28" s="17" t="str">
        <f>'Lịch thi đấu'!F36</f>
        <v>Đội 11</v>
      </c>
      <c r="F28" s="14"/>
      <c r="G28" s="14"/>
      <c r="H28" s="19"/>
      <c r="I28" s="22" t="str">
        <f t="shared" si="0"/>
        <v/>
      </c>
      <c r="J28" s="12" t="str">
        <f t="shared" si="1"/>
        <v/>
      </c>
      <c r="K28" s="23"/>
    </row>
    <row r="29" spans="1:11" ht="15" customHeight="1" x14ac:dyDescent="0.25">
      <c r="A29" s="17">
        <f>'Lịch thi đấu'!A37</f>
        <v>25</v>
      </c>
      <c r="B29" s="17" t="str">
        <f>'Lịch thi đấu'!B37</f>
        <v>Bóng né</v>
      </c>
      <c r="C29" s="17" t="str">
        <f>'Lịch thi đấu'!C37</f>
        <v>Bán kết 1</v>
      </c>
      <c r="D29" s="17" t="str">
        <f>'Lịch thi đấu'!E37</f>
        <v>Đội 10</v>
      </c>
      <c r="E29" s="17" t="str">
        <f>'Lịch thi đấu'!F37</f>
        <v>Đội 12</v>
      </c>
      <c r="F29" s="14"/>
      <c r="G29" s="14"/>
      <c r="H29" s="19"/>
      <c r="I29" s="22" t="str">
        <f t="shared" si="0"/>
        <v/>
      </c>
      <c r="J29" s="12" t="str">
        <f t="shared" si="1"/>
        <v/>
      </c>
      <c r="K29" s="23"/>
    </row>
    <row r="30" spans="1:11" ht="15" customHeight="1" x14ac:dyDescent="0.25">
      <c r="A30" s="17">
        <f>'Lịch thi đấu'!A38</f>
        <v>26</v>
      </c>
      <c r="B30" s="17" t="str">
        <f>'Lịch thi đấu'!B38</f>
        <v>Bóng né</v>
      </c>
      <c r="C30" s="17" t="str">
        <f>'Lịch thi đấu'!C38</f>
        <v>Bán kết 2</v>
      </c>
      <c r="D30" s="17" t="str">
        <f>'Lịch thi đấu'!E38</f>
        <v>Đội 9</v>
      </c>
      <c r="E30" s="17" t="str">
        <f>'Lịch thi đấu'!F38</f>
        <v>Đội 6</v>
      </c>
      <c r="F30" s="14"/>
      <c r="G30" s="14"/>
      <c r="H30" s="19"/>
      <c r="I30" s="22" t="str">
        <f t="shared" si="0"/>
        <v/>
      </c>
      <c r="J30" s="12" t="str">
        <f t="shared" si="1"/>
        <v/>
      </c>
      <c r="K30" s="23"/>
    </row>
    <row r="31" spans="1:11" ht="15" customHeight="1" x14ac:dyDescent="0.25">
      <c r="A31" s="17">
        <f>'Lịch thi đấu'!A39</f>
        <v>27</v>
      </c>
      <c r="B31" s="17" t="str">
        <f>'Lịch thi đấu'!B39</f>
        <v>Kéo co</v>
      </c>
      <c r="C31" s="17" t="str">
        <f>'Lịch thi đấu'!C39</f>
        <v>Bán kết 1</v>
      </c>
      <c r="D31" s="17" t="str">
        <f>'Lịch thi đấu'!E39</f>
        <v>Đội 10</v>
      </c>
      <c r="E31" s="17" t="str">
        <f>'Lịch thi đấu'!F39</f>
        <v>Đội 12</v>
      </c>
      <c r="F31" s="14"/>
      <c r="G31" s="14"/>
      <c r="H31" s="19"/>
      <c r="I31" s="22" t="str">
        <f t="shared" si="0"/>
        <v/>
      </c>
      <c r="J31" s="12" t="str">
        <f t="shared" si="1"/>
        <v/>
      </c>
      <c r="K31" s="23"/>
    </row>
    <row r="32" spans="1:11" ht="15" customHeight="1" x14ac:dyDescent="0.25">
      <c r="A32" s="17">
        <f>'Lịch thi đấu'!A40</f>
        <v>28</v>
      </c>
      <c r="B32" s="17" t="str">
        <f>'Lịch thi đấu'!B40</f>
        <v>Kéo co</v>
      </c>
      <c r="C32" s="17" t="str">
        <f>'Lịch thi đấu'!C40</f>
        <v>Bán kết 2</v>
      </c>
      <c r="D32" s="17" t="str">
        <f>'Lịch thi đấu'!E40</f>
        <v>Đội 9</v>
      </c>
      <c r="E32" s="17" t="str">
        <f>'Lịch thi đấu'!F40</f>
        <v>Đội 6</v>
      </c>
      <c r="F32" s="14"/>
      <c r="G32" s="14"/>
      <c r="H32" s="19"/>
      <c r="I32" s="22" t="str">
        <f t="shared" si="0"/>
        <v/>
      </c>
      <c r="J32" s="12" t="str">
        <f t="shared" si="1"/>
        <v/>
      </c>
      <c r="K32" s="23"/>
    </row>
    <row r="33" spans="1:11" ht="15" customHeight="1" x14ac:dyDescent="0.25">
      <c r="A33" s="17">
        <f>'Lịch thi đấu'!A41</f>
        <v>29</v>
      </c>
      <c r="B33" s="17" t="str">
        <f>'Lịch thi đấu'!B41</f>
        <v>Bóng né</v>
      </c>
      <c r="C33" s="17" t="str">
        <f>'Lịch thi đấu'!C41</f>
        <v>Chung kết</v>
      </c>
      <c r="D33" s="17" t="str">
        <f>'Lịch thi đấu'!E41</f>
        <v/>
      </c>
      <c r="E33" s="17" t="str">
        <f>'Lịch thi đấu'!F41</f>
        <v/>
      </c>
      <c r="F33" s="14"/>
      <c r="G33" s="14"/>
      <c r="H33" s="19"/>
      <c r="I33" s="22" t="str">
        <f t="shared" si="0"/>
        <v/>
      </c>
      <c r="J33" s="12" t="str">
        <f t="shared" si="1"/>
        <v/>
      </c>
      <c r="K33" s="23"/>
    </row>
    <row r="34" spans="1:11" ht="15" customHeight="1" x14ac:dyDescent="0.25">
      <c r="A34" s="17">
        <f>'Lịch thi đấu'!A42</f>
        <v>30</v>
      </c>
      <c r="B34" s="17" t="str">
        <f>'Lịch thi đấu'!B42</f>
        <v>Kéo co</v>
      </c>
      <c r="C34" s="17" t="str">
        <f>'Lịch thi đấu'!C42</f>
        <v>Chung kết</v>
      </c>
      <c r="D34" s="17" t="str">
        <f>'Lịch thi đấu'!E42</f>
        <v/>
      </c>
      <c r="E34" s="17" t="str">
        <f>'Lịch thi đấu'!F42</f>
        <v/>
      </c>
      <c r="F34" s="14"/>
      <c r="G34" s="14"/>
      <c r="H34" s="19"/>
      <c r="I34" s="22" t="str">
        <f t="shared" si="0"/>
        <v/>
      </c>
      <c r="J34" s="12" t="str">
        <f t="shared" si="1"/>
        <v/>
      </c>
      <c r="K34" s="23"/>
    </row>
    <row r="36" spans="1:11" ht="15.75" customHeight="1" x14ac:dyDescent="0.25">
      <c r="A36" s="4" t="s">
        <v>160</v>
      </c>
      <c r="B36" s="4"/>
      <c r="C36" s="4"/>
      <c r="D36" s="4"/>
      <c r="E36" s="4"/>
    </row>
    <row r="37" spans="1:11" ht="15" customHeight="1" x14ac:dyDescent="0.25">
      <c r="A37" s="3" t="s">
        <v>161</v>
      </c>
      <c r="B37" s="3"/>
      <c r="C37" s="3"/>
      <c r="D37" s="3"/>
      <c r="E37" s="3"/>
    </row>
    <row r="39" spans="1:11" ht="25.5" customHeight="1" x14ac:dyDescent="0.25">
      <c r="A39" s="11" t="s">
        <v>3</v>
      </c>
      <c r="B39" s="11" t="s">
        <v>162</v>
      </c>
      <c r="C39" s="11" t="s">
        <v>163</v>
      </c>
      <c r="D39" s="11" t="s">
        <v>164</v>
      </c>
      <c r="E39" s="11" t="s">
        <v>165</v>
      </c>
      <c r="F39" s="24" t="s">
        <v>166</v>
      </c>
    </row>
    <row r="40" spans="1:11" ht="15" customHeight="1" x14ac:dyDescent="0.25">
      <c r="A40" s="12">
        <v>1</v>
      </c>
      <c r="B40" s="14"/>
      <c r="C40" s="14"/>
      <c r="D40" s="14"/>
      <c r="E40" s="14"/>
      <c r="F40" s="25" t="str">
        <f>IF(D40="","",IF(COUNTIF($D$40:D40,D40)=1,COUNT($F39:F$40)+1,""))</f>
        <v/>
      </c>
    </row>
    <row r="41" spans="1:11" ht="15" customHeight="1" x14ac:dyDescent="0.25">
      <c r="A41" s="12">
        <v>2</v>
      </c>
      <c r="B41" s="14"/>
      <c r="C41" s="14"/>
      <c r="D41" s="14"/>
      <c r="E41" s="14"/>
      <c r="F41" s="25" t="str">
        <f>IF(D41="","",IF(COUNTIF($D$40:D41,D41)=1,COUNT($F$40:F40)+1,""))</f>
        <v/>
      </c>
    </row>
    <row r="42" spans="1:11" ht="15" customHeight="1" x14ac:dyDescent="0.25">
      <c r="A42" s="12">
        <v>3</v>
      </c>
      <c r="B42" s="14"/>
      <c r="C42" s="14"/>
      <c r="D42" s="14"/>
      <c r="E42" s="14"/>
      <c r="F42" s="25" t="str">
        <f>IF(D42="","",IF(COUNTIF($D$40:D42,D42)=1,COUNT($F$40:F41)+1,""))</f>
        <v/>
      </c>
    </row>
    <row r="43" spans="1:11" ht="15" customHeight="1" x14ac:dyDescent="0.25">
      <c r="A43" s="12">
        <v>4</v>
      </c>
      <c r="B43" s="14"/>
      <c r="C43" s="14"/>
      <c r="D43" s="14"/>
      <c r="E43" s="14"/>
      <c r="F43" s="25" t="str">
        <f>IF(D43="","",IF(COUNTIF($D$40:D43,D43)=1,COUNT($F$40:F42)+1,""))</f>
        <v/>
      </c>
    </row>
    <row r="44" spans="1:11" ht="15" customHeight="1" x14ac:dyDescent="0.25">
      <c r="A44" s="12">
        <v>5</v>
      </c>
      <c r="B44" s="14"/>
      <c r="C44" s="14"/>
      <c r="D44" s="14"/>
      <c r="E44" s="14"/>
      <c r="F44" s="25" t="str">
        <f>IF(D44="","",IF(COUNTIF($D$40:D44,D44)=1,COUNT($F$40:F43)+1,""))</f>
        <v/>
      </c>
    </row>
    <row r="45" spans="1:11" ht="15" customHeight="1" x14ac:dyDescent="0.25">
      <c r="A45" s="12">
        <v>6</v>
      </c>
      <c r="B45" s="14"/>
      <c r="C45" s="14"/>
      <c r="D45" s="14"/>
      <c r="E45" s="14"/>
      <c r="F45" s="25" t="str">
        <f>IF(D45="","",IF(COUNTIF($D$40:D45,D45)=1,COUNT($F$40:F44)+1,""))</f>
        <v/>
      </c>
    </row>
    <row r="46" spans="1:11" ht="15" customHeight="1" x14ac:dyDescent="0.25">
      <c r="A46" s="12">
        <v>7</v>
      </c>
      <c r="B46" s="14"/>
      <c r="C46" s="14"/>
      <c r="D46" s="14"/>
      <c r="E46" s="14"/>
      <c r="F46" s="25" t="str">
        <f>IF(D46="","",IF(COUNTIF($D$40:D46,D46)=1,COUNT($F$40:F45)+1,""))</f>
        <v/>
      </c>
    </row>
    <row r="47" spans="1:11" ht="15" customHeight="1" x14ac:dyDescent="0.25">
      <c r="A47" s="12">
        <v>8</v>
      </c>
      <c r="B47" s="14"/>
      <c r="C47" s="14"/>
      <c r="D47" s="14"/>
      <c r="E47" s="14"/>
      <c r="F47" s="25" t="str">
        <f>IF(D47="","",IF(COUNTIF($D$40:D47,D47)=1,COUNT($F$40:F46)+1,""))</f>
        <v/>
      </c>
    </row>
    <row r="48" spans="1:11" ht="15" customHeight="1" x14ac:dyDescent="0.25">
      <c r="A48" s="12">
        <v>9</v>
      </c>
      <c r="B48" s="14"/>
      <c r="C48" s="14"/>
      <c r="D48" s="14"/>
      <c r="E48" s="14"/>
      <c r="F48" s="25" t="str">
        <f>IF(D48="","",IF(COUNTIF($D$40:D48,D48)=1,COUNT($F$40:F47)+1,""))</f>
        <v/>
      </c>
    </row>
    <row r="49" spans="1:6" ht="15" customHeight="1" x14ac:dyDescent="0.25">
      <c r="A49" s="12">
        <v>10</v>
      </c>
      <c r="B49" s="14"/>
      <c r="C49" s="14"/>
      <c r="D49" s="14"/>
      <c r="E49" s="14"/>
      <c r="F49" s="25" t="str">
        <f>IF(D49="","",IF(COUNTIF($D$40:D49,D49)=1,COUNT($F$40:F48)+1,""))</f>
        <v/>
      </c>
    </row>
    <row r="50" spans="1:6" ht="15" customHeight="1" x14ac:dyDescent="0.25">
      <c r="A50" s="12">
        <v>11</v>
      </c>
      <c r="B50" s="14"/>
      <c r="C50" s="14"/>
      <c r="D50" s="14"/>
      <c r="E50" s="14"/>
      <c r="F50" s="25" t="str">
        <f>IF(D50="","",IF(COUNTIF($D$40:D50,D50)=1,COUNT($F$40:F49)+1,""))</f>
        <v/>
      </c>
    </row>
    <row r="51" spans="1:6" ht="15" customHeight="1" x14ac:dyDescent="0.25">
      <c r="A51" s="12">
        <v>12</v>
      </c>
      <c r="B51" s="14"/>
      <c r="C51" s="14"/>
      <c r="D51" s="14"/>
      <c r="E51" s="14"/>
      <c r="F51" s="25" t="str">
        <f>IF(D51="","",IF(COUNTIF($D$40:D51,D51)=1,COUNT($F$40:F50)+1,""))</f>
        <v/>
      </c>
    </row>
    <row r="52" spans="1:6" ht="15" customHeight="1" x14ac:dyDescent="0.25">
      <c r="A52" s="12">
        <v>13</v>
      </c>
      <c r="B52" s="14"/>
      <c r="C52" s="14"/>
      <c r="D52" s="14"/>
      <c r="E52" s="14"/>
      <c r="F52" s="25" t="str">
        <f>IF(D52="","",IF(COUNTIF($D$40:D52,D52)=1,COUNT($F$40:F51)+1,""))</f>
        <v/>
      </c>
    </row>
    <row r="53" spans="1:6" ht="15" customHeight="1" x14ac:dyDescent="0.25">
      <c r="A53" s="12">
        <v>14</v>
      </c>
      <c r="B53" s="14"/>
      <c r="C53" s="14"/>
      <c r="D53" s="14"/>
      <c r="E53" s="14"/>
      <c r="F53" s="25" t="str">
        <f>IF(D53="","",IF(COUNTIF($D$40:D53,D53)=1,COUNT($F$40:F52)+1,""))</f>
        <v/>
      </c>
    </row>
    <row r="54" spans="1:6" ht="15" customHeight="1" x14ac:dyDescent="0.25">
      <c r="A54" s="12">
        <v>15</v>
      </c>
      <c r="B54" s="14"/>
      <c r="C54" s="14"/>
      <c r="D54" s="14"/>
      <c r="E54" s="14"/>
      <c r="F54" s="25" t="str">
        <f>IF(D54="","",IF(COUNTIF($D$40:D54,D54)=1,COUNT($F$40:F53)+1,""))</f>
        <v/>
      </c>
    </row>
    <row r="55" spans="1:6" ht="15" customHeight="1" x14ac:dyDescent="0.25">
      <c r="A55" s="12">
        <v>16</v>
      </c>
      <c r="B55" s="14"/>
      <c r="C55" s="14"/>
      <c r="D55" s="14"/>
      <c r="E55" s="14"/>
      <c r="F55" s="25" t="str">
        <f>IF(D55="","",IF(COUNTIF($D$40:D55,D55)=1,COUNT($F$40:F54)+1,""))</f>
        <v/>
      </c>
    </row>
    <row r="56" spans="1:6" ht="15" customHeight="1" x14ac:dyDescent="0.25">
      <c r="A56" s="12">
        <v>17</v>
      </c>
      <c r="B56" s="14"/>
      <c r="C56" s="14"/>
      <c r="D56" s="14"/>
      <c r="E56" s="14"/>
      <c r="F56" s="25" t="str">
        <f>IF(D56="","",IF(COUNTIF($D$40:D56,D56)=1,COUNT($F$40:F55)+1,""))</f>
        <v/>
      </c>
    </row>
    <row r="57" spans="1:6" ht="15" customHeight="1" x14ac:dyDescent="0.25">
      <c r="A57" s="12">
        <v>18</v>
      </c>
      <c r="B57" s="14"/>
      <c r="C57" s="14"/>
      <c r="D57" s="14"/>
      <c r="E57" s="14"/>
      <c r="F57" s="25" t="str">
        <f>IF(D57="","",IF(COUNTIF($D$40:D57,D57)=1,COUNT($F$40:F56)+1,""))</f>
        <v/>
      </c>
    </row>
    <row r="58" spans="1:6" ht="15" customHeight="1" x14ac:dyDescent="0.25">
      <c r="A58" s="12">
        <v>19</v>
      </c>
      <c r="B58" s="14"/>
      <c r="C58" s="14"/>
      <c r="D58" s="14"/>
      <c r="E58" s="14"/>
      <c r="F58" s="25" t="str">
        <f>IF(D58="","",IF(COUNTIF($D$40:D58,D58)=1,COUNT($F$40:F57)+1,""))</f>
        <v/>
      </c>
    </row>
    <row r="59" spans="1:6" ht="15" customHeight="1" x14ac:dyDescent="0.25">
      <c r="A59" s="12">
        <v>20</v>
      </c>
      <c r="B59" s="14"/>
      <c r="C59" s="14"/>
      <c r="D59" s="14"/>
      <c r="E59" s="14"/>
      <c r="F59" s="25" t="str">
        <f>IF(D59="","",IF(COUNTIF($D$40:D59,D59)=1,COUNT($F$40:F58)+1,""))</f>
        <v/>
      </c>
    </row>
    <row r="60" spans="1:6" ht="15" customHeight="1" x14ac:dyDescent="0.25">
      <c r="A60" s="12">
        <v>21</v>
      </c>
      <c r="B60" s="14"/>
      <c r="C60" s="14"/>
      <c r="D60" s="14"/>
      <c r="E60" s="14"/>
      <c r="F60" s="25" t="str">
        <f>IF(D60="","",IF(COUNTIF($D$40:D60,D60)=1,COUNT($F$40:F59)+1,""))</f>
        <v/>
      </c>
    </row>
    <row r="61" spans="1:6" ht="15" customHeight="1" x14ac:dyDescent="0.25">
      <c r="A61" s="12">
        <v>22</v>
      </c>
      <c r="B61" s="14"/>
      <c r="C61" s="14"/>
      <c r="D61" s="14"/>
      <c r="E61" s="14"/>
      <c r="F61" s="25" t="str">
        <f>IF(D61="","",IF(COUNTIF($D$40:D61,D61)=1,COUNT($F$40:F60)+1,""))</f>
        <v/>
      </c>
    </row>
    <row r="62" spans="1:6" ht="15" customHeight="1" x14ac:dyDescent="0.25">
      <c r="A62" s="12">
        <v>23</v>
      </c>
      <c r="B62" s="14"/>
      <c r="C62" s="14"/>
      <c r="D62" s="14"/>
      <c r="E62" s="14"/>
      <c r="F62" s="25" t="str">
        <f>IF(D62="","",IF(COUNTIF($D$40:D62,D62)=1,COUNT($F$40:F61)+1,""))</f>
        <v/>
      </c>
    </row>
    <row r="63" spans="1:6" ht="15" customHeight="1" x14ac:dyDescent="0.25">
      <c r="A63" s="12">
        <v>24</v>
      </c>
      <c r="B63" s="14"/>
      <c r="C63" s="14"/>
      <c r="D63" s="14"/>
      <c r="E63" s="14"/>
      <c r="F63" s="25" t="str">
        <f>IF(D63="","",IF(COUNTIF($D$40:D63,D63)=1,COUNT($F$40:F62)+1,""))</f>
        <v/>
      </c>
    </row>
    <row r="64" spans="1:6" ht="15" customHeight="1" x14ac:dyDescent="0.25">
      <c r="A64" s="12">
        <v>25</v>
      </c>
      <c r="B64" s="14"/>
      <c r="C64" s="14"/>
      <c r="D64" s="14"/>
      <c r="E64" s="14"/>
      <c r="F64" s="25" t="str">
        <f>IF(D64="","",IF(COUNTIF($D$40:D64,D64)=1,COUNT($F$40:F63)+1,""))</f>
        <v/>
      </c>
    </row>
    <row r="65" spans="1:6" ht="15" customHeight="1" x14ac:dyDescent="0.25">
      <c r="A65" s="12">
        <v>26</v>
      </c>
      <c r="B65" s="14"/>
      <c r="C65" s="14"/>
      <c r="D65" s="14"/>
      <c r="E65" s="14"/>
      <c r="F65" s="25" t="str">
        <f>IF(D65="","",IF(COUNTIF($D$40:D65,D65)=1,COUNT($F$40:F64)+1,""))</f>
        <v/>
      </c>
    </row>
    <row r="66" spans="1:6" ht="15" customHeight="1" x14ac:dyDescent="0.25">
      <c r="A66" s="12">
        <v>27</v>
      </c>
      <c r="B66" s="14"/>
      <c r="C66" s="14"/>
      <c r="D66" s="14"/>
      <c r="E66" s="14"/>
      <c r="F66" s="25" t="str">
        <f>IF(D66="","",IF(COUNTIF($D$40:D66,D66)=1,COUNT($F$40:F65)+1,""))</f>
        <v/>
      </c>
    </row>
    <row r="67" spans="1:6" ht="15" customHeight="1" x14ac:dyDescent="0.25">
      <c r="A67" s="12">
        <v>28</v>
      </c>
      <c r="B67" s="14"/>
      <c r="C67" s="14"/>
      <c r="D67" s="14"/>
      <c r="E67" s="14"/>
      <c r="F67" s="25" t="str">
        <f>IF(D67="","",IF(COUNTIF($D$40:D67,D67)=1,COUNT($F$40:F66)+1,""))</f>
        <v/>
      </c>
    </row>
    <row r="68" spans="1:6" ht="15" customHeight="1" x14ac:dyDescent="0.25">
      <c r="A68" s="12">
        <v>29</v>
      </c>
      <c r="B68" s="14"/>
      <c r="C68" s="14"/>
      <c r="D68" s="14"/>
      <c r="E68" s="14"/>
      <c r="F68" s="25" t="str">
        <f>IF(D68="","",IF(COUNTIF($D$40:D68,D68)=1,COUNT($F$40:F67)+1,""))</f>
        <v/>
      </c>
    </row>
    <row r="69" spans="1:6" ht="15" customHeight="1" x14ac:dyDescent="0.25">
      <c r="A69" s="12">
        <v>30</v>
      </c>
      <c r="B69" s="14"/>
      <c r="C69" s="14"/>
      <c r="D69" s="14"/>
      <c r="E69" s="14"/>
      <c r="F69" s="25" t="str">
        <f>IF(D69="","",IF(COUNTIF($D$40:D69,D69)=1,COUNT($F$40:F68)+1,""))</f>
        <v/>
      </c>
    </row>
    <row r="70" spans="1:6" ht="15" customHeight="1" x14ac:dyDescent="0.25">
      <c r="A70" s="12">
        <v>31</v>
      </c>
      <c r="B70" s="14"/>
      <c r="C70" s="14"/>
      <c r="D70" s="14"/>
      <c r="E70" s="14"/>
      <c r="F70" s="25" t="str">
        <f>IF(D70="","",IF(COUNTIF($D$40:D70,D70)=1,COUNT($F$40:F69)+1,""))</f>
        <v/>
      </c>
    </row>
    <row r="71" spans="1:6" ht="15" customHeight="1" x14ac:dyDescent="0.25">
      <c r="A71" s="12">
        <v>32</v>
      </c>
      <c r="B71" s="14"/>
      <c r="C71" s="14"/>
      <c r="D71" s="14"/>
      <c r="E71" s="14"/>
      <c r="F71" s="25" t="str">
        <f>IF(D71="","",IF(COUNTIF($D$40:D71,D71)=1,COUNT($F$40:F70)+1,""))</f>
        <v/>
      </c>
    </row>
    <row r="72" spans="1:6" ht="15" customHeight="1" x14ac:dyDescent="0.25">
      <c r="A72" s="12">
        <v>33</v>
      </c>
      <c r="B72" s="14"/>
      <c r="C72" s="14"/>
      <c r="D72" s="14"/>
      <c r="E72" s="14"/>
      <c r="F72" s="25" t="str">
        <f>IF(D72="","",IF(COUNTIF($D$40:D72,D72)=1,COUNT($F$40:F71)+1,""))</f>
        <v/>
      </c>
    </row>
    <row r="73" spans="1:6" ht="15" customHeight="1" x14ac:dyDescent="0.25">
      <c r="A73" s="12">
        <v>34</v>
      </c>
      <c r="B73" s="14"/>
      <c r="C73" s="14"/>
      <c r="D73" s="14"/>
      <c r="E73" s="14"/>
      <c r="F73" s="25" t="str">
        <f>IF(D73="","",IF(COUNTIF($D$40:D73,D73)=1,COUNT($F$40:F72)+1,""))</f>
        <v/>
      </c>
    </row>
    <row r="74" spans="1:6" ht="15" customHeight="1" x14ac:dyDescent="0.25">
      <c r="A74" s="12">
        <v>35</v>
      </c>
      <c r="B74" s="14"/>
      <c r="C74" s="14"/>
      <c r="D74" s="14"/>
      <c r="E74" s="14"/>
      <c r="F74" s="25" t="str">
        <f>IF(D74="","",IF(COUNTIF($D$40:D74,D74)=1,COUNT($F$40:F73)+1,""))</f>
        <v/>
      </c>
    </row>
    <row r="75" spans="1:6" ht="15" customHeight="1" x14ac:dyDescent="0.25">
      <c r="A75" s="12">
        <v>36</v>
      </c>
      <c r="B75" s="14"/>
      <c r="C75" s="14"/>
      <c r="D75" s="14"/>
      <c r="E75" s="14"/>
      <c r="F75" s="25" t="str">
        <f>IF(D75="","",IF(COUNTIF($D$40:D75,D75)=1,COUNT($F$40:F74)+1,""))</f>
        <v/>
      </c>
    </row>
    <row r="76" spans="1:6" ht="15" customHeight="1" x14ac:dyDescent="0.25">
      <c r="A76" s="12">
        <v>37</v>
      </c>
      <c r="B76" s="14"/>
      <c r="C76" s="14"/>
      <c r="D76" s="14"/>
      <c r="E76" s="14"/>
      <c r="F76" s="25" t="str">
        <f>IF(D76="","",IF(COUNTIF($D$40:D76,D76)=1,COUNT($F$40:F75)+1,""))</f>
        <v/>
      </c>
    </row>
    <row r="77" spans="1:6" ht="15" customHeight="1" x14ac:dyDescent="0.25">
      <c r="A77" s="12">
        <v>38</v>
      </c>
      <c r="B77" s="14"/>
      <c r="C77" s="14"/>
      <c r="D77" s="14"/>
      <c r="E77" s="14"/>
      <c r="F77" s="25" t="str">
        <f>IF(D77="","",IF(COUNTIF($D$40:D77,D77)=1,COUNT($F$40:F76)+1,""))</f>
        <v/>
      </c>
    </row>
    <row r="78" spans="1:6" ht="15" customHeight="1" x14ac:dyDescent="0.25">
      <c r="A78" s="12">
        <v>39</v>
      </c>
      <c r="B78" s="14"/>
      <c r="C78" s="14"/>
      <c r="D78" s="14"/>
      <c r="E78" s="14"/>
      <c r="F78" s="25" t="str">
        <f>IF(D78="","",IF(COUNTIF($D$40:D78,D78)=1,COUNT($F$40:F77)+1,""))</f>
        <v/>
      </c>
    </row>
    <row r="79" spans="1:6" ht="15" customHeight="1" x14ac:dyDescent="0.25">
      <c r="A79" s="12">
        <v>40</v>
      </c>
      <c r="B79" s="14"/>
      <c r="C79" s="14"/>
      <c r="D79" s="14"/>
      <c r="E79" s="14"/>
      <c r="F79" s="25" t="str">
        <f>IF(D79="","",IF(COUNTIF($D$40:D79,D79)=1,COUNT($F$40:F78)+1,""))</f>
        <v/>
      </c>
    </row>
    <row r="80" spans="1:6" ht="15" customHeight="1" x14ac:dyDescent="0.25">
      <c r="A80" s="12">
        <v>41</v>
      </c>
      <c r="B80" s="14"/>
      <c r="C80" s="14"/>
      <c r="D80" s="14"/>
      <c r="E80" s="14"/>
      <c r="F80" s="25" t="str">
        <f>IF(D80="","",IF(COUNTIF($D$40:D80,D80)=1,COUNT($F$40:F79)+1,""))</f>
        <v/>
      </c>
    </row>
    <row r="81" spans="1:6" ht="15" customHeight="1" x14ac:dyDescent="0.25">
      <c r="A81" s="12">
        <v>42</v>
      </c>
      <c r="B81" s="14"/>
      <c r="C81" s="14"/>
      <c r="D81" s="14"/>
      <c r="E81" s="14"/>
      <c r="F81" s="25" t="str">
        <f>IF(D81="","",IF(COUNTIF($D$40:D81,D81)=1,COUNT($F$40:F80)+1,""))</f>
        <v/>
      </c>
    </row>
    <row r="82" spans="1:6" ht="15" customHeight="1" x14ac:dyDescent="0.25">
      <c r="A82" s="12">
        <v>43</v>
      </c>
      <c r="B82" s="14"/>
      <c r="C82" s="14"/>
      <c r="D82" s="14"/>
      <c r="E82" s="14"/>
      <c r="F82" s="25" t="str">
        <f>IF(D82="","",IF(COUNTIF($D$40:D82,D82)=1,COUNT($F$40:F81)+1,""))</f>
        <v/>
      </c>
    </row>
    <row r="83" spans="1:6" ht="15" customHeight="1" x14ac:dyDescent="0.25">
      <c r="A83" s="12">
        <v>44</v>
      </c>
      <c r="B83" s="14"/>
      <c r="C83" s="14"/>
      <c r="D83" s="14"/>
      <c r="E83" s="14"/>
      <c r="F83" s="25" t="str">
        <f>IF(D83="","",IF(COUNTIF($D$40:D83,D83)=1,COUNT($F$40:F82)+1,""))</f>
        <v/>
      </c>
    </row>
    <row r="84" spans="1:6" ht="15" customHeight="1" x14ac:dyDescent="0.25">
      <c r="A84" s="12">
        <v>45</v>
      </c>
      <c r="B84" s="14"/>
      <c r="C84" s="14"/>
      <c r="D84" s="14"/>
      <c r="E84" s="14"/>
      <c r="F84" s="25" t="str">
        <f>IF(D84="","",IF(COUNTIF($D$40:D84,D84)=1,COUNT($F$40:F83)+1,""))</f>
        <v/>
      </c>
    </row>
  </sheetData>
  <mergeCells count="5">
    <mergeCell ref="A1:K1"/>
    <mergeCell ref="A2:K2"/>
    <mergeCell ref="A3:K3"/>
    <mergeCell ref="A36:E36"/>
    <mergeCell ref="A37:E37"/>
  </mergeCells>
  <dataValidations count="1">
    <dataValidation type="list" allowBlank="1" sqref="H5:H34" xr:uid="{00000000-0002-0000-0200-000000000000}">
      <formula1>$D5:$E5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1E000000}">
          <x14:formula1>
            <xm:f>'Lịch thi đấu'!$B$6:$D$9</xm:f>
          </x14:formula1>
          <x14:formula2>
            <xm:f>0</xm:f>
          </x14:formula2>
          <xm:sqref>C40:C84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1"/>
  <sheetViews>
    <sheetView showGridLines="0" zoomScaleNormal="100" workbookViewId="0"/>
  </sheetViews>
  <sheetFormatPr defaultColWidth="8.7109375" defaultRowHeight="15" x14ac:dyDescent="0.25"/>
  <cols>
    <col min="1" max="1" width="12" customWidth="1"/>
    <col min="2" max="2" width="16" customWidth="1"/>
    <col min="3" max="3" width="14" customWidth="1"/>
    <col min="4" max="4" width="10" customWidth="1"/>
    <col min="5" max="8" width="8" customWidth="1"/>
    <col min="9" max="9" width="14" customWidth="1"/>
  </cols>
  <sheetData>
    <row r="1" spans="1:9" ht="19.5" customHeight="1" x14ac:dyDescent="0.3">
      <c r="A1" s="10" t="s">
        <v>167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168</v>
      </c>
      <c r="B2" s="9"/>
      <c r="C2" s="9"/>
      <c r="D2" s="9"/>
      <c r="E2" s="9"/>
      <c r="F2" s="9"/>
      <c r="G2" s="9"/>
      <c r="H2" s="9"/>
      <c r="I2" s="9"/>
    </row>
    <row r="4" spans="1:9" ht="15" customHeight="1" x14ac:dyDescent="0.25">
      <c r="A4" s="2" t="s">
        <v>169</v>
      </c>
      <c r="B4" s="2"/>
      <c r="C4" s="2"/>
      <c r="D4" s="2"/>
      <c r="E4" s="2"/>
      <c r="F4" s="2"/>
      <c r="G4" s="2"/>
      <c r="H4" s="2"/>
      <c r="I4" s="2"/>
    </row>
    <row r="5" spans="1:9" ht="23.25" customHeight="1" x14ac:dyDescent="0.25">
      <c r="A5" s="11" t="s">
        <v>122</v>
      </c>
      <c r="B5" s="11" t="s">
        <v>101</v>
      </c>
      <c r="C5" s="11" t="s">
        <v>163</v>
      </c>
      <c r="D5" s="11" t="s">
        <v>170</v>
      </c>
      <c r="E5" s="11" t="s">
        <v>171</v>
      </c>
      <c r="F5" s="11" t="s">
        <v>172</v>
      </c>
      <c r="G5" s="11" t="s">
        <v>173</v>
      </c>
      <c r="H5" s="11" t="s">
        <v>174</v>
      </c>
      <c r="I5" s="11" t="s">
        <v>175</v>
      </c>
    </row>
    <row r="6" spans="1:9" ht="15" customHeight="1" x14ac:dyDescent="0.25">
      <c r="A6" s="12" t="s">
        <v>128</v>
      </c>
      <c r="B6" s="12" t="s">
        <v>105</v>
      </c>
      <c r="C6" s="17" t="str">
        <f>'Lịch thi đấu'!B6</f>
        <v>Đội 10</v>
      </c>
      <c r="D6" s="17">
        <f>COUNTIF('Nhập kết quả'!$D$5:$D$16,$C6)+COUNTIF('Nhập kết quả'!$E$5:$E$16,$C6)</f>
        <v>2</v>
      </c>
      <c r="E6" s="17">
        <f>COUNTIF('Nhập kết quả'!$I$5:$I$16,$C6)</f>
        <v>0</v>
      </c>
      <c r="F6" s="12">
        <f>SUMPRODUCT((('Nhập kết quả'!$D$5:$D$16=$C6)+('Nhập kết quả'!$E$5:$E$16=$C6))*('Nhập kết quả'!$I$5:$I$16="Hòa"))</f>
        <v>0</v>
      </c>
      <c r="G6" s="17">
        <f>COUNTIF('Nhập kết quả'!$J$5:$J$16,$C6)</f>
        <v>0</v>
      </c>
      <c r="H6" s="22">
        <f t="shared" ref="H6:H29" si="0">E6*30+F6*10</f>
        <v>0</v>
      </c>
      <c r="I6" s="22">
        <f>RANK(H6,$H$6:$H$8)</f>
        <v>1</v>
      </c>
    </row>
    <row r="7" spans="1:9" ht="15" customHeight="1" x14ac:dyDescent="0.25">
      <c r="A7" s="12" t="s">
        <v>128</v>
      </c>
      <c r="B7" s="12" t="s">
        <v>105</v>
      </c>
      <c r="C7" s="17" t="str">
        <f>'Lịch thi đấu'!C6</f>
        <v>Đội 4</v>
      </c>
      <c r="D7" s="17">
        <f>COUNTIF('Nhập kết quả'!$D$5:$D$16,$C7)+COUNTIF('Nhập kết quả'!$E$5:$E$16,$C7)</f>
        <v>2</v>
      </c>
      <c r="E7" s="17">
        <f>COUNTIF('Nhập kết quả'!$I$5:$I$16,$C7)</f>
        <v>0</v>
      </c>
      <c r="F7" s="12">
        <f>SUMPRODUCT((('Nhập kết quả'!$D$5:$D$16=$C7)+('Nhập kết quả'!$E$5:$E$16=$C7))*('Nhập kết quả'!$I$5:$I$16="Hòa"))</f>
        <v>0</v>
      </c>
      <c r="G7" s="17">
        <f>COUNTIF('Nhập kết quả'!$J$5:$J$16,$C7)</f>
        <v>0</v>
      </c>
      <c r="H7" s="22">
        <f t="shared" si="0"/>
        <v>0</v>
      </c>
      <c r="I7" s="22">
        <f>RANK(H7,$H$6:$H$8)</f>
        <v>1</v>
      </c>
    </row>
    <row r="8" spans="1:9" ht="15" customHeight="1" x14ac:dyDescent="0.25">
      <c r="A8" s="12" t="s">
        <v>128</v>
      </c>
      <c r="B8" s="12" t="s">
        <v>105</v>
      </c>
      <c r="C8" s="17" t="str">
        <f>'Lịch thi đấu'!D6</f>
        <v>Đội 5</v>
      </c>
      <c r="D8" s="17">
        <f>COUNTIF('Nhập kết quả'!$D$5:$D$16,$C8)+COUNTIF('Nhập kết quả'!$E$5:$E$16,$C8)</f>
        <v>2</v>
      </c>
      <c r="E8" s="17">
        <f>COUNTIF('Nhập kết quả'!$I$5:$I$16,$C8)</f>
        <v>0</v>
      </c>
      <c r="F8" s="12">
        <f>SUMPRODUCT((('Nhập kết quả'!$D$5:$D$16=$C8)+('Nhập kết quả'!$E$5:$E$16=$C8))*('Nhập kết quả'!$I$5:$I$16="Hòa"))</f>
        <v>0</v>
      </c>
      <c r="G8" s="17">
        <f>COUNTIF('Nhập kết quả'!$J$5:$J$16,$C8)</f>
        <v>0</v>
      </c>
      <c r="H8" s="22">
        <f t="shared" si="0"/>
        <v>0</v>
      </c>
      <c r="I8" s="22">
        <f>RANK(H8,$H$6:$H$8)</f>
        <v>1</v>
      </c>
    </row>
    <row r="9" spans="1:9" ht="15" customHeight="1" x14ac:dyDescent="0.25">
      <c r="A9" s="12" t="s">
        <v>128</v>
      </c>
      <c r="B9" s="12" t="s">
        <v>109</v>
      </c>
      <c r="C9" s="17" t="str">
        <f>'Lịch thi đấu'!B7</f>
        <v>Đội 12</v>
      </c>
      <c r="D9" s="17">
        <f>COUNTIF('Nhập kết quả'!$D$5:$D$16,$C9)+COUNTIF('Nhập kết quả'!$E$5:$E$16,$C9)</f>
        <v>2</v>
      </c>
      <c r="E9" s="17">
        <f>COUNTIF('Nhập kết quả'!$I$5:$I$16,$C9)</f>
        <v>0</v>
      </c>
      <c r="F9" s="12">
        <f>SUMPRODUCT((('Nhập kết quả'!$D$5:$D$16=$C9)+('Nhập kết quả'!$E$5:$E$16=$C9))*('Nhập kết quả'!$I$5:$I$16="Hòa"))</f>
        <v>0</v>
      </c>
      <c r="G9" s="17">
        <f>COUNTIF('Nhập kết quả'!$J$5:$J$16,$C9)</f>
        <v>0</v>
      </c>
      <c r="H9" s="22">
        <f t="shared" si="0"/>
        <v>0</v>
      </c>
      <c r="I9" s="22">
        <f>RANK(H9,$H$9:$H$11)</f>
        <v>1</v>
      </c>
    </row>
    <row r="10" spans="1:9" ht="15" customHeight="1" x14ac:dyDescent="0.25">
      <c r="A10" s="12" t="s">
        <v>128</v>
      </c>
      <c r="B10" s="12" t="s">
        <v>109</v>
      </c>
      <c r="C10" s="17" t="str">
        <f>'Lịch thi đấu'!C7</f>
        <v>Đội 1</v>
      </c>
      <c r="D10" s="17">
        <f>COUNTIF('Nhập kết quả'!$D$5:$D$16,$C10)+COUNTIF('Nhập kết quả'!$E$5:$E$16,$C10)</f>
        <v>2</v>
      </c>
      <c r="E10" s="17">
        <f>COUNTIF('Nhập kết quả'!$I$5:$I$16,$C10)</f>
        <v>0</v>
      </c>
      <c r="F10" s="12">
        <f>SUMPRODUCT((('Nhập kết quả'!$D$5:$D$16=$C10)+('Nhập kết quả'!$E$5:$E$16=$C10))*('Nhập kết quả'!$I$5:$I$16="Hòa"))</f>
        <v>0</v>
      </c>
      <c r="G10" s="17">
        <f>COUNTIF('Nhập kết quả'!$J$5:$J$16,$C10)</f>
        <v>0</v>
      </c>
      <c r="H10" s="22">
        <f t="shared" si="0"/>
        <v>0</v>
      </c>
      <c r="I10" s="22">
        <f>RANK(H10,$H$9:$H$11)</f>
        <v>1</v>
      </c>
    </row>
    <row r="11" spans="1:9" ht="15" customHeight="1" x14ac:dyDescent="0.25">
      <c r="A11" s="12" t="s">
        <v>128</v>
      </c>
      <c r="B11" s="12" t="s">
        <v>109</v>
      </c>
      <c r="C11" s="17" t="str">
        <f>'Lịch thi đấu'!D7</f>
        <v>Đội 2</v>
      </c>
      <c r="D11" s="17">
        <f>COUNTIF('Nhập kết quả'!$D$5:$D$16,$C11)+COUNTIF('Nhập kết quả'!$E$5:$E$16,$C11)</f>
        <v>2</v>
      </c>
      <c r="E11" s="17">
        <f>COUNTIF('Nhập kết quả'!$I$5:$I$16,$C11)</f>
        <v>0</v>
      </c>
      <c r="F11" s="12">
        <f>SUMPRODUCT((('Nhập kết quả'!$D$5:$D$16=$C11)+('Nhập kết quả'!$E$5:$E$16=$C11))*('Nhập kết quả'!$I$5:$I$16="Hòa"))</f>
        <v>0</v>
      </c>
      <c r="G11" s="17">
        <f>COUNTIF('Nhập kết quả'!$J$5:$J$16,$C11)</f>
        <v>0</v>
      </c>
      <c r="H11" s="22">
        <f t="shared" si="0"/>
        <v>0</v>
      </c>
      <c r="I11" s="22">
        <f>RANK(H11,$H$9:$H$11)</f>
        <v>1</v>
      </c>
    </row>
    <row r="12" spans="1:9" ht="15" customHeight="1" x14ac:dyDescent="0.25">
      <c r="A12" s="12" t="s">
        <v>128</v>
      </c>
      <c r="B12" s="12" t="s">
        <v>113</v>
      </c>
      <c r="C12" s="17" t="str">
        <f>'Lịch thi đấu'!B8</f>
        <v>Đội 9</v>
      </c>
      <c r="D12" s="17">
        <f>COUNTIF('Nhập kết quả'!$D$5:$D$16,$C12)+COUNTIF('Nhập kết quả'!$E$5:$E$16,$C12)</f>
        <v>2</v>
      </c>
      <c r="E12" s="17">
        <f>COUNTIF('Nhập kết quả'!$I$5:$I$16,$C12)</f>
        <v>0</v>
      </c>
      <c r="F12" s="12">
        <f>SUMPRODUCT((('Nhập kết quả'!$D$5:$D$16=$C12)+('Nhập kết quả'!$E$5:$E$16=$C12))*('Nhập kết quả'!$I$5:$I$16="Hòa"))</f>
        <v>0</v>
      </c>
      <c r="G12" s="17">
        <f>COUNTIF('Nhập kết quả'!$J$5:$J$16,$C12)</f>
        <v>0</v>
      </c>
      <c r="H12" s="22">
        <f t="shared" si="0"/>
        <v>0</v>
      </c>
      <c r="I12" s="22">
        <f>RANK(H12,$H$12:$H$14)</f>
        <v>1</v>
      </c>
    </row>
    <row r="13" spans="1:9" ht="15" customHeight="1" x14ac:dyDescent="0.25">
      <c r="A13" s="12" t="s">
        <v>128</v>
      </c>
      <c r="B13" s="12" t="s">
        <v>113</v>
      </c>
      <c r="C13" s="17" t="str">
        <f>'Lịch thi đấu'!C8</f>
        <v>Đội 3</v>
      </c>
      <c r="D13" s="17">
        <f>COUNTIF('Nhập kết quả'!$D$5:$D$16,$C13)+COUNTIF('Nhập kết quả'!$E$5:$E$16,$C13)</f>
        <v>2</v>
      </c>
      <c r="E13" s="17">
        <f>COUNTIF('Nhập kết quả'!$I$5:$I$16,$C13)</f>
        <v>0</v>
      </c>
      <c r="F13" s="12">
        <f>SUMPRODUCT((('Nhập kết quả'!$D$5:$D$16=$C13)+('Nhập kết quả'!$E$5:$E$16=$C13))*('Nhập kết quả'!$I$5:$I$16="Hòa"))</f>
        <v>0</v>
      </c>
      <c r="G13" s="17">
        <f>COUNTIF('Nhập kết quả'!$J$5:$J$16,$C13)</f>
        <v>0</v>
      </c>
      <c r="H13" s="22">
        <f t="shared" si="0"/>
        <v>0</v>
      </c>
      <c r="I13" s="22">
        <f>RANK(H13,$H$12:$H$14)</f>
        <v>1</v>
      </c>
    </row>
    <row r="14" spans="1:9" ht="15" customHeight="1" x14ac:dyDescent="0.25">
      <c r="A14" s="12" t="s">
        <v>128</v>
      </c>
      <c r="B14" s="12" t="s">
        <v>113</v>
      </c>
      <c r="C14" s="17" t="str">
        <f>'Lịch thi đấu'!D8</f>
        <v>Đội 8</v>
      </c>
      <c r="D14" s="17">
        <f>COUNTIF('Nhập kết quả'!$D$5:$D$16,$C14)+COUNTIF('Nhập kết quả'!$E$5:$E$16,$C14)</f>
        <v>2</v>
      </c>
      <c r="E14" s="17">
        <f>COUNTIF('Nhập kết quả'!$I$5:$I$16,$C14)</f>
        <v>0</v>
      </c>
      <c r="F14" s="12">
        <f>SUMPRODUCT((('Nhập kết quả'!$D$5:$D$16=$C14)+('Nhập kết quả'!$E$5:$E$16=$C14))*('Nhập kết quả'!$I$5:$I$16="Hòa"))</f>
        <v>0</v>
      </c>
      <c r="G14" s="17">
        <f>COUNTIF('Nhập kết quả'!$J$5:$J$16,$C14)</f>
        <v>0</v>
      </c>
      <c r="H14" s="22">
        <f t="shared" si="0"/>
        <v>0</v>
      </c>
      <c r="I14" s="22">
        <f>RANK(H14,$H$12:$H$14)</f>
        <v>1</v>
      </c>
    </row>
    <row r="15" spans="1:9" ht="15" customHeight="1" x14ac:dyDescent="0.25">
      <c r="A15" s="12" t="s">
        <v>128</v>
      </c>
      <c r="B15" s="12" t="s">
        <v>117</v>
      </c>
      <c r="C15" s="17" t="str">
        <f>'Lịch thi đấu'!B9</f>
        <v>Đội 6</v>
      </c>
      <c r="D15" s="17">
        <f>COUNTIF('Nhập kết quả'!$D$5:$D$16,$C15)+COUNTIF('Nhập kết quả'!$E$5:$E$16,$C15)</f>
        <v>2</v>
      </c>
      <c r="E15" s="17">
        <f>COUNTIF('Nhập kết quả'!$I$5:$I$16,$C15)</f>
        <v>0</v>
      </c>
      <c r="F15" s="12">
        <f>SUMPRODUCT((('Nhập kết quả'!$D$5:$D$16=$C15)+('Nhập kết quả'!$E$5:$E$16=$C15))*('Nhập kết quả'!$I$5:$I$16="Hòa"))</f>
        <v>0</v>
      </c>
      <c r="G15" s="17">
        <f>COUNTIF('Nhập kết quả'!$J$5:$J$16,$C15)</f>
        <v>0</v>
      </c>
      <c r="H15" s="22">
        <f t="shared" si="0"/>
        <v>0</v>
      </c>
      <c r="I15" s="22">
        <f>RANK(H15,$H$15:$H$17)</f>
        <v>1</v>
      </c>
    </row>
    <row r="16" spans="1:9" ht="15" customHeight="1" x14ac:dyDescent="0.25">
      <c r="A16" s="12" t="s">
        <v>128</v>
      </c>
      <c r="B16" s="12" t="s">
        <v>117</v>
      </c>
      <c r="C16" s="17" t="str">
        <f>'Lịch thi đấu'!C9</f>
        <v>Đội 7</v>
      </c>
      <c r="D16" s="17">
        <f>COUNTIF('Nhập kết quả'!$D$5:$D$16,$C16)+COUNTIF('Nhập kết quả'!$E$5:$E$16,$C16)</f>
        <v>2</v>
      </c>
      <c r="E16" s="17">
        <f>COUNTIF('Nhập kết quả'!$I$5:$I$16,$C16)</f>
        <v>0</v>
      </c>
      <c r="F16" s="12">
        <f>SUMPRODUCT((('Nhập kết quả'!$D$5:$D$16=$C16)+('Nhập kết quả'!$E$5:$E$16=$C16))*('Nhập kết quả'!$I$5:$I$16="Hòa"))</f>
        <v>0</v>
      </c>
      <c r="G16" s="17">
        <f>COUNTIF('Nhập kết quả'!$J$5:$J$16,$C16)</f>
        <v>0</v>
      </c>
      <c r="H16" s="22">
        <f t="shared" si="0"/>
        <v>0</v>
      </c>
      <c r="I16" s="22">
        <f>RANK(H16,$H$15:$H$17)</f>
        <v>1</v>
      </c>
    </row>
    <row r="17" spans="1:9" ht="15" customHeight="1" x14ac:dyDescent="0.25">
      <c r="A17" s="12" t="s">
        <v>128</v>
      </c>
      <c r="B17" s="12" t="s">
        <v>117</v>
      </c>
      <c r="C17" s="17" t="str">
        <f>'Lịch thi đấu'!D9</f>
        <v>Đội 11</v>
      </c>
      <c r="D17" s="17">
        <f>COUNTIF('Nhập kết quả'!$D$5:$D$16,$C17)+COUNTIF('Nhập kết quả'!$E$5:$E$16,$C17)</f>
        <v>2</v>
      </c>
      <c r="E17" s="17">
        <f>COUNTIF('Nhập kết quả'!$I$5:$I$16,$C17)</f>
        <v>0</v>
      </c>
      <c r="F17" s="12">
        <f>SUMPRODUCT((('Nhập kết quả'!$D$5:$D$16=$C17)+('Nhập kết quả'!$E$5:$E$16=$C17))*('Nhập kết quả'!$I$5:$I$16="Hòa"))</f>
        <v>0</v>
      </c>
      <c r="G17" s="17">
        <f>COUNTIF('Nhập kết quả'!$J$5:$J$16,$C17)</f>
        <v>0</v>
      </c>
      <c r="H17" s="22">
        <f t="shared" si="0"/>
        <v>0</v>
      </c>
      <c r="I17" s="22">
        <f>RANK(H17,$H$15:$H$17)</f>
        <v>1</v>
      </c>
    </row>
    <row r="18" spans="1:9" ht="15" customHeight="1" x14ac:dyDescent="0.25">
      <c r="A18" s="12" t="s">
        <v>143</v>
      </c>
      <c r="B18" s="12" t="s">
        <v>105</v>
      </c>
      <c r="C18" s="17" t="str">
        <f>'Lịch thi đấu'!B6</f>
        <v>Đội 10</v>
      </c>
      <c r="D18" s="17">
        <f>COUNTIF('Nhập kết quả'!$D$17:$D$28,$C18)+COUNTIF('Nhập kết quả'!$E$17:$E$28,$C18)</f>
        <v>2</v>
      </c>
      <c r="E18" s="17">
        <f>COUNTIF('Nhập kết quả'!$I$17:$I$28,$C18)</f>
        <v>0</v>
      </c>
      <c r="F18" s="12">
        <f>SUMPRODUCT((('Nhập kết quả'!$D$17:$D$28=$C18)+('Nhập kết quả'!$E$17:$E$28=$C18))*('Nhập kết quả'!$I$17:$I$28="Hòa"))</f>
        <v>0</v>
      </c>
      <c r="G18" s="17">
        <f>COUNTIF('Nhập kết quả'!$J$17:$J$28,$C18)</f>
        <v>0</v>
      </c>
      <c r="H18" s="22">
        <f t="shared" si="0"/>
        <v>0</v>
      </c>
      <c r="I18" s="22">
        <f>RANK(H18,$H$18:$H$20)</f>
        <v>1</v>
      </c>
    </row>
    <row r="19" spans="1:9" ht="15" customHeight="1" x14ac:dyDescent="0.25">
      <c r="A19" s="12" t="s">
        <v>143</v>
      </c>
      <c r="B19" s="12" t="s">
        <v>105</v>
      </c>
      <c r="C19" s="17" t="str">
        <f>'Lịch thi đấu'!C6</f>
        <v>Đội 4</v>
      </c>
      <c r="D19" s="17">
        <f>COUNTIF('Nhập kết quả'!$D$17:$D$28,$C19)+COUNTIF('Nhập kết quả'!$E$17:$E$28,$C19)</f>
        <v>2</v>
      </c>
      <c r="E19" s="17">
        <f>COUNTIF('Nhập kết quả'!$I$17:$I$28,$C19)</f>
        <v>0</v>
      </c>
      <c r="F19" s="12">
        <f>SUMPRODUCT((('Nhập kết quả'!$D$17:$D$28=$C19)+('Nhập kết quả'!$E$17:$E$28=$C19))*('Nhập kết quả'!$I$17:$I$28="Hòa"))</f>
        <v>0</v>
      </c>
      <c r="G19" s="17">
        <f>COUNTIF('Nhập kết quả'!$J$17:$J$28,$C19)</f>
        <v>0</v>
      </c>
      <c r="H19" s="22">
        <f t="shared" si="0"/>
        <v>0</v>
      </c>
      <c r="I19" s="22">
        <f>RANK(H19,$H$18:$H$20)</f>
        <v>1</v>
      </c>
    </row>
    <row r="20" spans="1:9" ht="15" customHeight="1" x14ac:dyDescent="0.25">
      <c r="A20" s="12" t="s">
        <v>143</v>
      </c>
      <c r="B20" s="12" t="s">
        <v>105</v>
      </c>
      <c r="C20" s="17" t="str">
        <f>'Lịch thi đấu'!D6</f>
        <v>Đội 5</v>
      </c>
      <c r="D20" s="17">
        <f>COUNTIF('Nhập kết quả'!$D$17:$D$28,$C20)+COUNTIF('Nhập kết quả'!$E$17:$E$28,$C20)</f>
        <v>2</v>
      </c>
      <c r="E20" s="17">
        <f>COUNTIF('Nhập kết quả'!$I$17:$I$28,$C20)</f>
        <v>0</v>
      </c>
      <c r="F20" s="12">
        <f>SUMPRODUCT((('Nhập kết quả'!$D$17:$D$28=$C20)+('Nhập kết quả'!$E$17:$E$28=$C20))*('Nhập kết quả'!$I$17:$I$28="Hòa"))</f>
        <v>0</v>
      </c>
      <c r="G20" s="17">
        <f>COUNTIF('Nhập kết quả'!$J$17:$J$28,$C20)</f>
        <v>0</v>
      </c>
      <c r="H20" s="22">
        <f t="shared" si="0"/>
        <v>0</v>
      </c>
      <c r="I20" s="22">
        <f>RANK(H20,$H$18:$H$20)</f>
        <v>1</v>
      </c>
    </row>
    <row r="21" spans="1:9" ht="15" customHeight="1" x14ac:dyDescent="0.25">
      <c r="A21" s="12" t="s">
        <v>143</v>
      </c>
      <c r="B21" s="12" t="s">
        <v>109</v>
      </c>
      <c r="C21" s="17" t="str">
        <f>'Lịch thi đấu'!B7</f>
        <v>Đội 12</v>
      </c>
      <c r="D21" s="17">
        <f>COUNTIF('Nhập kết quả'!$D$17:$D$28,$C21)+COUNTIF('Nhập kết quả'!$E$17:$E$28,$C21)</f>
        <v>2</v>
      </c>
      <c r="E21" s="17">
        <f>COUNTIF('Nhập kết quả'!$I$17:$I$28,$C21)</f>
        <v>0</v>
      </c>
      <c r="F21" s="12">
        <f>SUMPRODUCT((('Nhập kết quả'!$D$17:$D$28=$C21)+('Nhập kết quả'!$E$17:$E$28=$C21))*('Nhập kết quả'!$I$17:$I$28="Hòa"))</f>
        <v>0</v>
      </c>
      <c r="G21" s="17">
        <f>COUNTIF('Nhập kết quả'!$J$17:$J$28,$C21)</f>
        <v>0</v>
      </c>
      <c r="H21" s="22">
        <f t="shared" si="0"/>
        <v>0</v>
      </c>
      <c r="I21" s="22">
        <f>RANK(H21,$H$21:$H$23)</f>
        <v>1</v>
      </c>
    </row>
    <row r="22" spans="1:9" ht="15" customHeight="1" x14ac:dyDescent="0.25">
      <c r="A22" s="12" t="s">
        <v>143</v>
      </c>
      <c r="B22" s="12" t="s">
        <v>109</v>
      </c>
      <c r="C22" s="17" t="str">
        <f>'Lịch thi đấu'!C7</f>
        <v>Đội 1</v>
      </c>
      <c r="D22" s="17">
        <f>COUNTIF('Nhập kết quả'!$D$17:$D$28,$C22)+COUNTIF('Nhập kết quả'!$E$17:$E$28,$C22)</f>
        <v>2</v>
      </c>
      <c r="E22" s="17">
        <f>COUNTIF('Nhập kết quả'!$I$17:$I$28,$C22)</f>
        <v>0</v>
      </c>
      <c r="F22" s="12">
        <f>SUMPRODUCT((('Nhập kết quả'!$D$17:$D$28=$C22)+('Nhập kết quả'!$E$17:$E$28=$C22))*('Nhập kết quả'!$I$17:$I$28="Hòa"))</f>
        <v>0</v>
      </c>
      <c r="G22" s="17">
        <f>COUNTIF('Nhập kết quả'!$J$17:$J$28,$C22)</f>
        <v>0</v>
      </c>
      <c r="H22" s="22">
        <f t="shared" si="0"/>
        <v>0</v>
      </c>
      <c r="I22" s="22">
        <f>RANK(H22,$H$21:$H$23)</f>
        <v>1</v>
      </c>
    </row>
    <row r="23" spans="1:9" ht="15" customHeight="1" x14ac:dyDescent="0.25">
      <c r="A23" s="12" t="s">
        <v>143</v>
      </c>
      <c r="B23" s="12" t="s">
        <v>109</v>
      </c>
      <c r="C23" s="17" t="str">
        <f>'Lịch thi đấu'!D7</f>
        <v>Đội 2</v>
      </c>
      <c r="D23" s="17">
        <f>COUNTIF('Nhập kết quả'!$D$17:$D$28,$C23)+COUNTIF('Nhập kết quả'!$E$17:$E$28,$C23)</f>
        <v>2</v>
      </c>
      <c r="E23" s="17">
        <f>COUNTIF('Nhập kết quả'!$I$17:$I$28,$C23)</f>
        <v>0</v>
      </c>
      <c r="F23" s="12">
        <f>SUMPRODUCT((('Nhập kết quả'!$D$17:$D$28=$C23)+('Nhập kết quả'!$E$17:$E$28=$C23))*('Nhập kết quả'!$I$17:$I$28="Hòa"))</f>
        <v>0</v>
      </c>
      <c r="G23" s="17">
        <f>COUNTIF('Nhập kết quả'!$J$17:$J$28,$C23)</f>
        <v>0</v>
      </c>
      <c r="H23" s="22">
        <f t="shared" si="0"/>
        <v>0</v>
      </c>
      <c r="I23" s="22">
        <f>RANK(H23,$H$21:$H$23)</f>
        <v>1</v>
      </c>
    </row>
    <row r="24" spans="1:9" ht="15" customHeight="1" x14ac:dyDescent="0.25">
      <c r="A24" s="12" t="s">
        <v>143</v>
      </c>
      <c r="B24" s="12" t="s">
        <v>113</v>
      </c>
      <c r="C24" s="17" t="str">
        <f>'Lịch thi đấu'!B8</f>
        <v>Đội 9</v>
      </c>
      <c r="D24" s="17">
        <f>COUNTIF('Nhập kết quả'!$D$17:$D$28,$C24)+COUNTIF('Nhập kết quả'!$E$17:$E$28,$C24)</f>
        <v>2</v>
      </c>
      <c r="E24" s="17">
        <f>COUNTIF('Nhập kết quả'!$I$17:$I$28,$C24)</f>
        <v>0</v>
      </c>
      <c r="F24" s="12">
        <f>SUMPRODUCT((('Nhập kết quả'!$D$17:$D$28=$C24)+('Nhập kết quả'!$E$17:$E$28=$C24))*('Nhập kết quả'!$I$17:$I$28="Hòa"))</f>
        <v>0</v>
      </c>
      <c r="G24" s="17">
        <f>COUNTIF('Nhập kết quả'!$J$17:$J$28,$C24)</f>
        <v>0</v>
      </c>
      <c r="H24" s="22">
        <f t="shared" si="0"/>
        <v>0</v>
      </c>
      <c r="I24" s="22">
        <f>RANK(H24,$H$24:$H$26)</f>
        <v>1</v>
      </c>
    </row>
    <row r="25" spans="1:9" ht="15" customHeight="1" x14ac:dyDescent="0.25">
      <c r="A25" s="12" t="s">
        <v>143</v>
      </c>
      <c r="B25" s="12" t="s">
        <v>113</v>
      </c>
      <c r="C25" s="17" t="str">
        <f>'Lịch thi đấu'!C8</f>
        <v>Đội 3</v>
      </c>
      <c r="D25" s="17">
        <f>COUNTIF('Nhập kết quả'!$D$17:$D$28,$C25)+COUNTIF('Nhập kết quả'!$E$17:$E$28,$C25)</f>
        <v>2</v>
      </c>
      <c r="E25" s="17">
        <f>COUNTIF('Nhập kết quả'!$I$17:$I$28,$C25)</f>
        <v>0</v>
      </c>
      <c r="F25" s="12">
        <f>SUMPRODUCT((('Nhập kết quả'!$D$17:$D$28=$C25)+('Nhập kết quả'!$E$17:$E$28=$C25))*('Nhập kết quả'!$I$17:$I$28="Hòa"))</f>
        <v>0</v>
      </c>
      <c r="G25" s="17">
        <f>COUNTIF('Nhập kết quả'!$J$17:$J$28,$C25)</f>
        <v>0</v>
      </c>
      <c r="H25" s="22">
        <f t="shared" si="0"/>
        <v>0</v>
      </c>
      <c r="I25" s="22">
        <f>RANK(H25,$H$24:$H$26)</f>
        <v>1</v>
      </c>
    </row>
    <row r="26" spans="1:9" ht="15" customHeight="1" x14ac:dyDescent="0.25">
      <c r="A26" s="12" t="s">
        <v>143</v>
      </c>
      <c r="B26" s="12" t="s">
        <v>113</v>
      </c>
      <c r="C26" s="17" t="str">
        <f>'Lịch thi đấu'!D8</f>
        <v>Đội 8</v>
      </c>
      <c r="D26" s="17">
        <f>COUNTIF('Nhập kết quả'!$D$17:$D$28,$C26)+COUNTIF('Nhập kết quả'!$E$17:$E$28,$C26)</f>
        <v>2</v>
      </c>
      <c r="E26" s="17">
        <f>COUNTIF('Nhập kết quả'!$I$17:$I$28,$C26)</f>
        <v>0</v>
      </c>
      <c r="F26" s="12">
        <f>SUMPRODUCT((('Nhập kết quả'!$D$17:$D$28=$C26)+('Nhập kết quả'!$E$17:$E$28=$C26))*('Nhập kết quả'!$I$17:$I$28="Hòa"))</f>
        <v>0</v>
      </c>
      <c r="G26" s="17">
        <f>COUNTIF('Nhập kết quả'!$J$17:$J$28,$C26)</f>
        <v>0</v>
      </c>
      <c r="H26" s="22">
        <f t="shared" si="0"/>
        <v>0</v>
      </c>
      <c r="I26" s="22">
        <f>RANK(H26,$H$24:$H$26)</f>
        <v>1</v>
      </c>
    </row>
    <row r="27" spans="1:9" ht="15" customHeight="1" x14ac:dyDescent="0.25">
      <c r="A27" s="12" t="s">
        <v>143</v>
      </c>
      <c r="B27" s="12" t="s">
        <v>117</v>
      </c>
      <c r="C27" s="17" t="str">
        <f>'Lịch thi đấu'!B9</f>
        <v>Đội 6</v>
      </c>
      <c r="D27" s="17">
        <f>COUNTIF('Nhập kết quả'!$D$17:$D$28,$C27)+COUNTIF('Nhập kết quả'!$E$17:$E$28,$C27)</f>
        <v>2</v>
      </c>
      <c r="E27" s="17">
        <f>COUNTIF('Nhập kết quả'!$I$17:$I$28,$C27)</f>
        <v>0</v>
      </c>
      <c r="F27" s="12">
        <f>SUMPRODUCT((('Nhập kết quả'!$D$17:$D$28=$C27)+('Nhập kết quả'!$E$17:$E$28=$C27))*('Nhập kết quả'!$I$17:$I$28="Hòa"))</f>
        <v>0</v>
      </c>
      <c r="G27" s="17">
        <f>COUNTIF('Nhập kết quả'!$J$17:$J$28,$C27)</f>
        <v>0</v>
      </c>
      <c r="H27" s="22">
        <f t="shared" si="0"/>
        <v>0</v>
      </c>
      <c r="I27" s="22">
        <f>RANK(H27,$H$27:$H$29)</f>
        <v>1</v>
      </c>
    </row>
    <row r="28" spans="1:9" ht="15" customHeight="1" x14ac:dyDescent="0.25">
      <c r="A28" s="12" t="s">
        <v>143</v>
      </c>
      <c r="B28" s="12" t="s">
        <v>117</v>
      </c>
      <c r="C28" s="17" t="str">
        <f>'Lịch thi đấu'!C9</f>
        <v>Đội 7</v>
      </c>
      <c r="D28" s="17">
        <f>COUNTIF('Nhập kết quả'!$D$17:$D$28,$C28)+COUNTIF('Nhập kết quả'!$E$17:$E$28,$C28)</f>
        <v>2</v>
      </c>
      <c r="E28" s="17">
        <f>COUNTIF('Nhập kết quả'!$I$17:$I$28,$C28)</f>
        <v>0</v>
      </c>
      <c r="F28" s="12">
        <f>SUMPRODUCT((('Nhập kết quả'!$D$17:$D$28=$C28)+('Nhập kết quả'!$E$17:$E$28=$C28))*('Nhập kết quả'!$I$17:$I$28="Hòa"))</f>
        <v>0</v>
      </c>
      <c r="G28" s="17">
        <f>COUNTIF('Nhập kết quả'!$J$17:$J$28,$C28)</f>
        <v>0</v>
      </c>
      <c r="H28" s="22">
        <f t="shared" si="0"/>
        <v>0</v>
      </c>
      <c r="I28" s="22">
        <f>RANK(H28,$H$27:$H$29)</f>
        <v>1</v>
      </c>
    </row>
    <row r="29" spans="1:9" ht="15" customHeight="1" x14ac:dyDescent="0.25">
      <c r="A29" s="12" t="s">
        <v>143</v>
      </c>
      <c r="B29" s="12" t="s">
        <v>117</v>
      </c>
      <c r="C29" s="17" t="str">
        <f>'Lịch thi đấu'!D9</f>
        <v>Đội 11</v>
      </c>
      <c r="D29" s="17">
        <f>COUNTIF('Nhập kết quả'!$D$17:$D$28,$C29)+COUNTIF('Nhập kết quả'!$E$17:$E$28,$C29)</f>
        <v>2</v>
      </c>
      <c r="E29" s="17">
        <f>COUNTIF('Nhập kết quả'!$I$17:$I$28,$C29)</f>
        <v>0</v>
      </c>
      <c r="F29" s="12">
        <f>SUMPRODUCT((('Nhập kết quả'!$D$17:$D$28=$C29)+('Nhập kết quả'!$E$17:$E$28=$C29))*('Nhập kết quả'!$I$17:$I$28="Hòa"))</f>
        <v>0</v>
      </c>
      <c r="G29" s="17">
        <f>COUNTIF('Nhập kết quả'!$J$17:$J$28,$C29)</f>
        <v>0</v>
      </c>
      <c r="H29" s="22">
        <f t="shared" si="0"/>
        <v>0</v>
      </c>
      <c r="I29" s="22">
        <f>RANK(H29,$H$27:$H$29)</f>
        <v>1</v>
      </c>
    </row>
    <row r="31" spans="1:9" ht="15" customHeight="1" x14ac:dyDescent="0.25">
      <c r="A31" s="2" t="s">
        <v>176</v>
      </c>
      <c r="B31" s="2"/>
      <c r="C31" s="2"/>
      <c r="D31" s="2"/>
      <c r="E31" s="2"/>
      <c r="F31" s="2"/>
      <c r="G31" s="2"/>
      <c r="H31" s="2"/>
      <c r="I31" s="2"/>
    </row>
    <row r="32" spans="1:9" ht="23.25" customHeight="1" x14ac:dyDescent="0.25">
      <c r="A32" s="11" t="s">
        <v>122</v>
      </c>
      <c r="B32" s="11" t="s">
        <v>123</v>
      </c>
      <c r="C32" s="11" t="s">
        <v>111</v>
      </c>
      <c r="D32" s="11" t="s">
        <v>112</v>
      </c>
      <c r="E32" s="11" t="s">
        <v>157</v>
      </c>
    </row>
    <row r="33" spans="1:5" ht="15" customHeight="1" x14ac:dyDescent="0.25">
      <c r="A33" s="12" t="s">
        <v>128</v>
      </c>
      <c r="B33" s="12" t="s">
        <v>147</v>
      </c>
      <c r="C33" s="17" t="str">
        <f>'Nhập kết quả'!D29</f>
        <v>Đội 10</v>
      </c>
      <c r="D33" s="17" t="str">
        <f>'Nhập kết quả'!E29</f>
        <v>Đội 12</v>
      </c>
      <c r="E33" s="21" t="str">
        <f>'Nhập kết quả'!I29</f>
        <v/>
      </c>
    </row>
    <row r="34" spans="1:5" ht="15" customHeight="1" x14ac:dyDescent="0.25">
      <c r="A34" s="12" t="s">
        <v>128</v>
      </c>
      <c r="B34" s="12" t="s">
        <v>149</v>
      </c>
      <c r="C34" s="17" t="str">
        <f>'Nhập kết quả'!D30</f>
        <v>Đội 9</v>
      </c>
      <c r="D34" s="17" t="str">
        <f>'Nhập kết quả'!E30</f>
        <v>Đội 6</v>
      </c>
      <c r="E34" s="21" t="str">
        <f>'Nhập kết quả'!I30</f>
        <v/>
      </c>
    </row>
    <row r="35" spans="1:5" ht="15" customHeight="1" x14ac:dyDescent="0.25">
      <c r="A35" s="12" t="s">
        <v>128</v>
      </c>
      <c r="B35" s="22" t="s">
        <v>150</v>
      </c>
      <c r="C35" s="17" t="str">
        <f>'Nhập kết quả'!D33</f>
        <v/>
      </c>
      <c r="D35" s="17" t="str">
        <f>'Nhập kết quả'!E33</f>
        <v/>
      </c>
      <c r="E35" s="21" t="str">
        <f>'Nhập kết quả'!I33</f>
        <v/>
      </c>
    </row>
    <row r="36" spans="1:5" ht="15" customHeight="1" x14ac:dyDescent="0.25">
      <c r="A36" s="12" t="s">
        <v>143</v>
      </c>
      <c r="B36" s="12" t="s">
        <v>147</v>
      </c>
      <c r="C36" s="17" t="str">
        <f>'Nhập kết quả'!D31</f>
        <v>Đội 10</v>
      </c>
      <c r="D36" s="17" t="str">
        <f>'Nhập kết quả'!E31</f>
        <v>Đội 12</v>
      </c>
      <c r="E36" s="21" t="str">
        <f>'Nhập kết quả'!I31</f>
        <v/>
      </c>
    </row>
    <row r="37" spans="1:5" ht="15" customHeight="1" x14ac:dyDescent="0.25">
      <c r="A37" s="12" t="s">
        <v>143</v>
      </c>
      <c r="B37" s="12" t="s">
        <v>149</v>
      </c>
      <c r="C37" s="17" t="str">
        <f>'Nhập kết quả'!D32</f>
        <v>Đội 9</v>
      </c>
      <c r="D37" s="17" t="str">
        <f>'Nhập kết quả'!E32</f>
        <v>Đội 6</v>
      </c>
      <c r="E37" s="21" t="str">
        <f>'Nhập kết quả'!I32</f>
        <v/>
      </c>
    </row>
    <row r="38" spans="1:5" ht="15" customHeight="1" x14ac:dyDescent="0.25">
      <c r="A38" s="12" t="s">
        <v>143</v>
      </c>
      <c r="B38" s="22" t="s">
        <v>150</v>
      </c>
      <c r="C38" s="17" t="str">
        <f>'Nhập kết quả'!D34</f>
        <v/>
      </c>
      <c r="D38" s="17" t="str">
        <f>'Nhập kết quả'!E34</f>
        <v/>
      </c>
      <c r="E38" s="21" t="str">
        <f>'Nhập kết quả'!I34</f>
        <v/>
      </c>
    </row>
    <row r="40" spans="1:5" ht="15" customHeight="1" x14ac:dyDescent="0.25">
      <c r="A40" s="26" t="s">
        <v>177</v>
      </c>
      <c r="B40" s="26" t="str">
        <f>E35</f>
        <v/>
      </c>
    </row>
    <row r="41" spans="1:5" ht="15" customHeight="1" x14ac:dyDescent="0.25">
      <c r="A41" s="26" t="s">
        <v>178</v>
      </c>
      <c r="B41" s="26" t="str">
        <f>E38</f>
        <v/>
      </c>
    </row>
  </sheetData>
  <mergeCells count="4">
    <mergeCell ref="A1:I1"/>
    <mergeCell ref="A2:I2"/>
    <mergeCell ref="A4:I4"/>
    <mergeCell ref="A31:I3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5" customWidth="1"/>
    <col min="2" max="2" width="16" customWidth="1"/>
    <col min="3" max="3" width="30" customWidth="1"/>
    <col min="4" max="5" width="9" customWidth="1"/>
    <col min="6" max="6" width="26" customWidth="1"/>
    <col min="7" max="8" width="30" customWidth="1"/>
    <col min="9" max="9" width="28" customWidth="1"/>
    <col min="10" max="10" width="20" customWidth="1"/>
  </cols>
  <sheetData>
    <row r="1" spans="1:10" ht="19.5" customHeight="1" x14ac:dyDescent="0.3">
      <c r="A1" s="10" t="s">
        <v>179</v>
      </c>
      <c r="B1" s="10"/>
      <c r="C1" s="10"/>
      <c r="D1" s="10"/>
      <c r="E1" s="10"/>
      <c r="F1" s="10"/>
      <c r="G1" s="10"/>
      <c r="H1" s="10"/>
      <c r="I1" s="10"/>
    </row>
    <row r="2" spans="1:10" ht="15" customHeight="1" x14ac:dyDescent="0.25">
      <c r="A2" s="9" t="s">
        <v>180</v>
      </c>
      <c r="B2" s="9"/>
      <c r="C2" s="9"/>
      <c r="D2" s="9"/>
      <c r="E2" s="9"/>
      <c r="F2" s="9"/>
      <c r="G2" s="9"/>
      <c r="H2" s="9"/>
      <c r="I2" s="9"/>
    </row>
    <row r="4" spans="1:10" ht="30" customHeight="1" x14ac:dyDescent="0.25">
      <c r="A4" s="11" t="s">
        <v>3</v>
      </c>
      <c r="B4" s="11" t="s">
        <v>181</v>
      </c>
      <c r="C4" s="11" t="s">
        <v>182</v>
      </c>
      <c r="D4" s="11" t="s">
        <v>4</v>
      </c>
      <c r="E4" s="11" t="s">
        <v>5</v>
      </c>
      <c r="F4" s="11" t="s">
        <v>183</v>
      </c>
      <c r="G4" s="11" t="s">
        <v>184</v>
      </c>
      <c r="H4" s="11" t="s">
        <v>185</v>
      </c>
      <c r="I4" s="11" t="s">
        <v>186</v>
      </c>
      <c r="J4" s="11" t="s">
        <v>187</v>
      </c>
    </row>
    <row r="5" spans="1:10" ht="61.5" customHeight="1" x14ac:dyDescent="0.25">
      <c r="A5" s="12">
        <v>1</v>
      </c>
      <c r="B5" s="27" t="s">
        <v>188</v>
      </c>
      <c r="C5" s="15" t="s">
        <v>189</v>
      </c>
      <c r="D5" s="20">
        <f>'Timeline (5W1H)'!B7</f>
        <v>0.4201388888888889</v>
      </c>
      <c r="E5" s="20" t="str">
        <f>'Timeline (5W1H)'!C7</f>
        <v>10:15</v>
      </c>
      <c r="F5" s="15" t="s">
        <v>190</v>
      </c>
      <c r="G5" s="15" t="s">
        <v>191</v>
      </c>
      <c r="H5" s="15" t="s">
        <v>192</v>
      </c>
      <c r="I5" s="15" t="s">
        <v>193</v>
      </c>
      <c r="J5" s="15" t="s">
        <v>194</v>
      </c>
    </row>
    <row r="6" spans="1:10" ht="94.5" customHeight="1" x14ac:dyDescent="0.25">
      <c r="A6" s="12">
        <v>2</v>
      </c>
      <c r="B6" s="27" t="s">
        <v>195</v>
      </c>
      <c r="C6" s="15" t="s">
        <v>196</v>
      </c>
      <c r="D6" s="20" t="str">
        <f>'Timeline (5W1H)'!B8</f>
        <v>10:15</v>
      </c>
      <c r="E6" s="20">
        <f>'Timeline (5W1H)'!C8</f>
        <v>0.43402777777777773</v>
      </c>
      <c r="F6" s="15" t="s">
        <v>197</v>
      </c>
      <c r="G6" s="15" t="s">
        <v>198</v>
      </c>
      <c r="H6" s="15" t="s">
        <v>199</v>
      </c>
      <c r="I6" s="15" t="s">
        <v>200</v>
      </c>
      <c r="J6" s="15"/>
    </row>
    <row r="7" spans="1:10" ht="94.5" customHeight="1" x14ac:dyDescent="0.25">
      <c r="A7" s="12">
        <v>3</v>
      </c>
      <c r="B7" s="27" t="s">
        <v>201</v>
      </c>
      <c r="C7" s="15" t="s">
        <v>202</v>
      </c>
      <c r="D7" s="20">
        <f>'Timeline (5W1H)'!B9</f>
        <v>0.43402777777777773</v>
      </c>
      <c r="E7" s="20">
        <f>'Timeline (5W1H)'!C9</f>
        <v>0.44097222222222215</v>
      </c>
      <c r="F7" s="15" t="s">
        <v>197</v>
      </c>
      <c r="G7" s="15" t="s">
        <v>198</v>
      </c>
      <c r="H7" s="15" t="s">
        <v>199</v>
      </c>
      <c r="I7" s="15" t="s">
        <v>203</v>
      </c>
      <c r="J7" s="15"/>
    </row>
    <row r="8" spans="1:10" ht="94.5" customHeight="1" x14ac:dyDescent="0.25">
      <c r="A8" s="12">
        <v>4</v>
      </c>
      <c r="B8" s="27" t="s">
        <v>204</v>
      </c>
      <c r="C8" s="15" t="s">
        <v>205</v>
      </c>
      <c r="D8" s="20">
        <f>'Timeline (5W1H)'!B10</f>
        <v>0.44097222222222215</v>
      </c>
      <c r="E8" s="20">
        <f>'Timeline (5W1H)'!C10</f>
        <v>0.44791666666666657</v>
      </c>
      <c r="F8" s="15" t="s">
        <v>197</v>
      </c>
      <c r="G8" s="15" t="s">
        <v>198</v>
      </c>
      <c r="H8" s="15" t="s">
        <v>199</v>
      </c>
      <c r="I8" s="15" t="s">
        <v>206</v>
      </c>
      <c r="J8" s="15"/>
    </row>
    <row r="9" spans="1:10" ht="94.5" customHeight="1" x14ac:dyDescent="0.25">
      <c r="A9" s="12">
        <v>5</v>
      </c>
      <c r="B9" s="27" t="s">
        <v>207</v>
      </c>
      <c r="C9" s="15" t="s">
        <v>208</v>
      </c>
      <c r="D9" s="20">
        <f>'Timeline (5W1H)'!B11</f>
        <v>0.44791666666666657</v>
      </c>
      <c r="E9" s="20">
        <f>'Timeline (5W1H)'!C11</f>
        <v>0.45486111111111099</v>
      </c>
      <c r="F9" s="15" t="s">
        <v>197</v>
      </c>
      <c r="G9" s="15" t="s">
        <v>198</v>
      </c>
      <c r="H9" s="15" t="s">
        <v>199</v>
      </c>
      <c r="I9" s="15" t="s">
        <v>209</v>
      </c>
      <c r="J9" s="15"/>
    </row>
    <row r="10" spans="1:10" ht="94.5" customHeight="1" x14ac:dyDescent="0.25">
      <c r="A10" s="12">
        <v>6</v>
      </c>
      <c r="B10" s="27" t="s">
        <v>210</v>
      </c>
      <c r="C10" s="15" t="s">
        <v>211</v>
      </c>
      <c r="D10" s="20">
        <f>'Timeline (5W1H)'!B12</f>
        <v>0.45486111111111099</v>
      </c>
      <c r="E10" s="20">
        <f>'Timeline (5W1H)'!C12</f>
        <v>0.46180555555555541</v>
      </c>
      <c r="F10" s="15" t="s">
        <v>197</v>
      </c>
      <c r="G10" s="15" t="s">
        <v>198</v>
      </c>
      <c r="H10" s="15" t="s">
        <v>199</v>
      </c>
      <c r="I10" s="15" t="s">
        <v>212</v>
      </c>
      <c r="J10" s="15"/>
    </row>
    <row r="11" spans="1:10" ht="94.5" customHeight="1" x14ac:dyDescent="0.25">
      <c r="A11" s="12">
        <v>7</v>
      </c>
      <c r="B11" s="27" t="s">
        <v>213</v>
      </c>
      <c r="C11" s="15" t="s">
        <v>214</v>
      </c>
      <c r="D11" s="20">
        <f>'Timeline (5W1H)'!B13</f>
        <v>0.46180555555555541</v>
      </c>
      <c r="E11" s="20">
        <f>'Timeline (5W1H)'!C13</f>
        <v>0.46874999999999983</v>
      </c>
      <c r="F11" s="15" t="s">
        <v>215</v>
      </c>
      <c r="G11" s="15" t="s">
        <v>198</v>
      </c>
      <c r="H11" s="15" t="s">
        <v>199</v>
      </c>
      <c r="I11" s="15" t="s">
        <v>216</v>
      </c>
      <c r="J11" s="15"/>
    </row>
    <row r="12" spans="1:10" ht="61.5" customHeight="1" x14ac:dyDescent="0.25">
      <c r="A12" s="12">
        <v>8</v>
      </c>
      <c r="B12" s="27" t="s">
        <v>217</v>
      </c>
      <c r="C12" s="15" t="s">
        <v>218</v>
      </c>
      <c r="D12" s="20">
        <f>'Timeline (5W1H)'!B14</f>
        <v>0.46874999999999983</v>
      </c>
      <c r="E12" s="20">
        <f>'Timeline (5W1H)'!C14</f>
        <v>0.47569444444444425</v>
      </c>
      <c r="F12" s="15" t="s">
        <v>219</v>
      </c>
      <c r="G12" s="15" t="s">
        <v>220</v>
      </c>
      <c r="H12" s="15" t="s">
        <v>221</v>
      </c>
      <c r="I12" s="15" t="s">
        <v>222</v>
      </c>
      <c r="J12" s="15" t="s">
        <v>223</v>
      </c>
    </row>
    <row r="13" spans="1:10" ht="61.5" customHeight="1" x14ac:dyDescent="0.25">
      <c r="A13" s="12">
        <v>9</v>
      </c>
      <c r="B13" s="27" t="s">
        <v>224</v>
      </c>
      <c r="C13" s="15" t="s">
        <v>225</v>
      </c>
      <c r="D13" s="20">
        <f>'Timeline (5W1H)'!B15</f>
        <v>0.47569444444444425</v>
      </c>
      <c r="E13" s="20">
        <f>'Timeline (5W1H)'!C15</f>
        <v>0.48263888888888867</v>
      </c>
      <c r="F13" s="15" t="s">
        <v>226</v>
      </c>
      <c r="G13" s="15" t="s">
        <v>227</v>
      </c>
      <c r="H13" s="15" t="s">
        <v>228</v>
      </c>
      <c r="I13" s="15" t="s">
        <v>229</v>
      </c>
      <c r="J13" s="15"/>
    </row>
    <row r="14" spans="1:10" ht="61.5" customHeight="1" x14ac:dyDescent="0.25">
      <c r="A14" s="12">
        <v>10</v>
      </c>
      <c r="B14" s="27" t="s">
        <v>230</v>
      </c>
      <c r="C14" s="15" t="s">
        <v>231</v>
      </c>
      <c r="D14" s="20">
        <f>'Timeline (5W1H)'!B16</f>
        <v>0.48263888888888867</v>
      </c>
      <c r="E14" s="20">
        <f>'Timeline (5W1H)'!C16</f>
        <v>0.48958333333333309</v>
      </c>
      <c r="F14" s="15" t="s">
        <v>226</v>
      </c>
      <c r="G14" s="15" t="s">
        <v>227</v>
      </c>
      <c r="H14" s="15" t="s">
        <v>228</v>
      </c>
      <c r="I14" s="15" t="s">
        <v>232</v>
      </c>
      <c r="J14" s="15"/>
    </row>
    <row r="15" spans="1:10" ht="61.5" customHeight="1" x14ac:dyDescent="0.25">
      <c r="A15" s="12">
        <v>11</v>
      </c>
      <c r="B15" s="27" t="s">
        <v>233</v>
      </c>
      <c r="C15" s="15" t="s">
        <v>234</v>
      </c>
      <c r="D15" s="20">
        <f>'Timeline (5W1H)'!B17</f>
        <v>0.48958333333333309</v>
      </c>
      <c r="E15" s="20">
        <f>'Timeline (5W1H)'!C17</f>
        <v>0.49652777777777751</v>
      </c>
      <c r="F15" s="15" t="s">
        <v>226</v>
      </c>
      <c r="G15" s="15" t="s">
        <v>227</v>
      </c>
      <c r="H15" s="15" t="s">
        <v>228</v>
      </c>
      <c r="I15" s="15" t="s">
        <v>235</v>
      </c>
      <c r="J15" s="15"/>
    </row>
    <row r="16" spans="1:10" ht="61.5" customHeight="1" x14ac:dyDescent="0.25">
      <c r="A16" s="12">
        <v>12</v>
      </c>
      <c r="B16" s="27" t="s">
        <v>236</v>
      </c>
      <c r="C16" s="15" t="s">
        <v>237</v>
      </c>
      <c r="D16" s="20">
        <f>'Timeline (5W1H)'!B18</f>
        <v>0.49652777777777751</v>
      </c>
      <c r="E16" s="20">
        <f>'Timeline (5W1H)'!C18</f>
        <v>0.50347222222222199</v>
      </c>
      <c r="F16" s="15" t="s">
        <v>238</v>
      </c>
      <c r="G16" s="15" t="s">
        <v>227</v>
      </c>
      <c r="H16" s="15" t="s">
        <v>228</v>
      </c>
      <c r="I16" s="15" t="s">
        <v>239</v>
      </c>
      <c r="J16" s="15"/>
    </row>
    <row r="17" spans="1:10" ht="61.5" customHeight="1" x14ac:dyDescent="0.25">
      <c r="A17" s="12">
        <v>13</v>
      </c>
      <c r="B17" s="27" t="s">
        <v>240</v>
      </c>
      <c r="C17" s="15" t="s">
        <v>241</v>
      </c>
      <c r="D17" s="20">
        <f>'Timeline (5W1H)'!B19</f>
        <v>0.50347222222222199</v>
      </c>
      <c r="E17" s="20">
        <f>'Timeline (5W1H)'!C19</f>
        <v>0.51041666666666641</v>
      </c>
      <c r="F17" s="15" t="s">
        <v>242</v>
      </c>
      <c r="G17" s="15" t="s">
        <v>243</v>
      </c>
      <c r="H17" s="15" t="s">
        <v>244</v>
      </c>
      <c r="I17" s="15" t="s">
        <v>245</v>
      </c>
      <c r="J17" s="15"/>
    </row>
    <row r="18" spans="1:10" ht="61.5" customHeight="1" x14ac:dyDescent="0.25">
      <c r="A18" s="12">
        <v>14</v>
      </c>
      <c r="B18" s="27" t="s">
        <v>246</v>
      </c>
      <c r="C18" s="15" t="s">
        <v>247</v>
      </c>
      <c r="D18" s="20">
        <f>'Timeline (5W1H)'!B20</f>
        <v>0.51041666666666641</v>
      </c>
      <c r="E18" s="20">
        <f>'Timeline (5W1H)'!C20</f>
        <v>0.51736111111111083</v>
      </c>
      <c r="F18" s="15" t="s">
        <v>248</v>
      </c>
      <c r="G18" s="15" t="s">
        <v>249</v>
      </c>
      <c r="H18" s="15" t="s">
        <v>250</v>
      </c>
      <c r="I18" s="15" t="s">
        <v>251</v>
      </c>
      <c r="J18" s="15"/>
    </row>
    <row r="19" spans="1:10" ht="61.5" customHeight="1" x14ac:dyDescent="0.25">
      <c r="A19" s="12">
        <v>15</v>
      </c>
      <c r="B19" s="27" t="s">
        <v>252</v>
      </c>
      <c r="C19" s="15" t="s">
        <v>247</v>
      </c>
      <c r="D19" s="20">
        <f>'Timeline (5W1H)'!B21</f>
        <v>0.51736111111111083</v>
      </c>
      <c r="E19" s="20">
        <f>'Timeline (5W1H)'!C21</f>
        <v>0.52430555555555525</v>
      </c>
      <c r="F19" s="15" t="s">
        <v>253</v>
      </c>
      <c r="G19" s="15" t="s">
        <v>254</v>
      </c>
      <c r="H19" s="15" t="s">
        <v>250</v>
      </c>
      <c r="I19" s="15" t="s">
        <v>255</v>
      </c>
      <c r="J19" s="15"/>
    </row>
    <row r="20" spans="1:10" ht="61.5" customHeight="1" x14ac:dyDescent="0.25">
      <c r="A20" s="12">
        <v>16</v>
      </c>
      <c r="B20" s="27" t="s">
        <v>256</v>
      </c>
      <c r="C20" s="15" t="s">
        <v>257</v>
      </c>
      <c r="D20" s="20">
        <f>'Timeline (5W1H)'!B22</f>
        <v>0.52430555555555525</v>
      </c>
      <c r="E20" s="20">
        <f>'Timeline (5W1H)'!C22</f>
        <v>0.53124999999999967</v>
      </c>
      <c r="F20" s="15" t="s">
        <v>258</v>
      </c>
      <c r="G20" s="15" t="s">
        <v>259</v>
      </c>
      <c r="H20" s="15" t="s">
        <v>260</v>
      </c>
      <c r="I20" s="15" t="s">
        <v>261</v>
      </c>
      <c r="J20" s="15"/>
    </row>
    <row r="21" spans="1:10" ht="61.5" customHeight="1" x14ac:dyDescent="0.25">
      <c r="A21" s="12">
        <v>17</v>
      </c>
      <c r="B21" s="27" t="s">
        <v>262</v>
      </c>
      <c r="C21" s="15" t="s">
        <v>76</v>
      </c>
      <c r="D21" s="20">
        <f>'Timeline (5W1H)'!B23</f>
        <v>0.53124999999999967</v>
      </c>
      <c r="E21" s="20">
        <f>'Timeline (5W1H)'!C23</f>
        <v>0.53819444444444409</v>
      </c>
      <c r="F21" s="15" t="s">
        <v>263</v>
      </c>
      <c r="G21" s="15" t="s">
        <v>264</v>
      </c>
      <c r="H21" s="15" t="s">
        <v>265</v>
      </c>
      <c r="I21" s="15" t="s">
        <v>266</v>
      </c>
      <c r="J21" s="15"/>
    </row>
    <row r="22" spans="1:10" ht="61.5" customHeight="1" x14ac:dyDescent="0.25">
      <c r="A22" s="12">
        <v>18</v>
      </c>
      <c r="B22" s="27" t="s">
        <v>267</v>
      </c>
      <c r="C22" s="15" t="s">
        <v>80</v>
      </c>
      <c r="D22" s="20">
        <f>'Timeline (5W1H)'!B24</f>
        <v>0.53819444444444409</v>
      </c>
      <c r="E22" s="20">
        <f>'Timeline (5W1H)'!C24</f>
        <v>0.54513888888888851</v>
      </c>
      <c r="F22" s="15" t="s">
        <v>268</v>
      </c>
      <c r="G22" s="15" t="s">
        <v>269</v>
      </c>
      <c r="H22" s="15" t="s">
        <v>270</v>
      </c>
      <c r="I22" s="15" t="s">
        <v>271</v>
      </c>
      <c r="J22" s="15"/>
    </row>
    <row r="23" spans="1:10" ht="61.5" customHeight="1" x14ac:dyDescent="0.25">
      <c r="A23" s="12">
        <v>19</v>
      </c>
      <c r="B23" s="27" t="s">
        <v>272</v>
      </c>
      <c r="C23" s="15" t="s">
        <v>273</v>
      </c>
      <c r="D23" s="20">
        <f>'Timeline (5W1H)'!B25</f>
        <v>0.54513888888888851</v>
      </c>
      <c r="E23" s="20">
        <f>'Timeline (5W1H)'!C25</f>
        <v>0.55555555555555514</v>
      </c>
      <c r="F23" s="15" t="s">
        <v>274</v>
      </c>
      <c r="G23" s="15" t="s">
        <v>275</v>
      </c>
      <c r="H23" s="15" t="s">
        <v>276</v>
      </c>
      <c r="I23" s="15" t="s">
        <v>277</v>
      </c>
      <c r="J23" s="15" t="s">
        <v>278</v>
      </c>
    </row>
    <row r="24" spans="1:10" ht="61.5" customHeight="1" x14ac:dyDescent="0.25">
      <c r="A24" s="12">
        <v>20</v>
      </c>
      <c r="B24" s="27" t="s">
        <v>279</v>
      </c>
      <c r="C24" s="15" t="s">
        <v>90</v>
      </c>
      <c r="D24" s="20">
        <f>'Timeline (5W1H)'!B26</f>
        <v>0.55555555555555514</v>
      </c>
      <c r="E24" s="20">
        <f>'Timeline (5W1H)'!C26</f>
        <v>0.56597222222222177</v>
      </c>
      <c r="F24" s="15" t="s">
        <v>280</v>
      </c>
      <c r="G24" s="15" t="s">
        <v>281</v>
      </c>
      <c r="H24" s="15" t="s">
        <v>282</v>
      </c>
      <c r="I24" s="15" t="s">
        <v>283</v>
      </c>
      <c r="J24" s="15"/>
    </row>
    <row r="25" spans="1:10" ht="61.5" customHeight="1" x14ac:dyDescent="0.25">
      <c r="A25" s="12">
        <v>21</v>
      </c>
      <c r="B25" s="27" t="s">
        <v>284</v>
      </c>
      <c r="C25" s="15" t="s">
        <v>285</v>
      </c>
      <c r="D25" s="20">
        <f>'Timeline (5W1H)'!B27</f>
        <v>0.56597222222222177</v>
      </c>
      <c r="E25" s="20">
        <f>'Timeline (5W1H)'!C27</f>
        <v>0.5763888888888884</v>
      </c>
      <c r="F25" s="15" t="s">
        <v>286</v>
      </c>
      <c r="G25" s="15" t="s">
        <v>286</v>
      </c>
      <c r="H25" s="15" t="s">
        <v>286</v>
      </c>
      <c r="I25" s="15" t="s">
        <v>286</v>
      </c>
      <c r="J25" s="15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3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7109375" defaultRowHeight="15" x14ac:dyDescent="0.25"/>
  <cols>
    <col min="1" max="1" width="5" customWidth="1"/>
    <col min="2" max="2" width="16" customWidth="1"/>
    <col min="3" max="3" width="32" customWidth="1"/>
    <col min="4" max="5" width="9" customWidth="1"/>
    <col min="6" max="6" width="26" customWidth="1"/>
    <col min="7" max="7" width="32" customWidth="1"/>
    <col min="8" max="9" width="28" customWidth="1"/>
  </cols>
  <sheetData>
    <row r="1" spans="1:9" ht="19.5" customHeight="1" x14ac:dyDescent="0.3">
      <c r="A1" s="10" t="s">
        <v>287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288</v>
      </c>
      <c r="B2" s="9"/>
      <c r="C2" s="9"/>
      <c r="D2" s="9"/>
      <c r="E2" s="9"/>
      <c r="F2" s="9"/>
      <c r="G2" s="9"/>
      <c r="H2" s="9"/>
      <c r="I2" s="9"/>
    </row>
    <row r="3" spans="1:9" ht="15" customHeight="1" x14ac:dyDescent="0.25">
      <c r="A3" s="5" t="s">
        <v>289</v>
      </c>
      <c r="B3" s="5"/>
      <c r="C3" s="5"/>
      <c r="D3" s="5"/>
      <c r="E3" s="5"/>
      <c r="F3" s="5"/>
      <c r="G3" s="5"/>
      <c r="H3" s="5"/>
      <c r="I3" s="5"/>
    </row>
    <row r="5" spans="1:9" ht="30" customHeight="1" x14ac:dyDescent="0.25">
      <c r="A5" s="11" t="s">
        <v>3</v>
      </c>
      <c r="B5" s="11" t="s">
        <v>181</v>
      </c>
      <c r="C5" s="11" t="s">
        <v>182</v>
      </c>
      <c r="D5" s="11" t="s">
        <v>4</v>
      </c>
      <c r="E5" s="11" t="s">
        <v>5</v>
      </c>
      <c r="F5" s="11" t="s">
        <v>183</v>
      </c>
      <c r="G5" s="11" t="s">
        <v>184</v>
      </c>
      <c r="H5" s="11" t="s">
        <v>185</v>
      </c>
      <c r="I5" s="11" t="s">
        <v>186</v>
      </c>
    </row>
    <row r="6" spans="1:9" ht="61.5" customHeight="1" x14ac:dyDescent="0.25">
      <c r="A6" s="12">
        <v>1</v>
      </c>
      <c r="B6" s="27" t="s">
        <v>188</v>
      </c>
      <c r="C6" s="15" t="s">
        <v>189</v>
      </c>
      <c r="D6" s="13">
        <f>D7-10/1440</f>
        <v>0.4201388888888889</v>
      </c>
      <c r="E6" s="13">
        <f t="shared" ref="E6:E20" si="0">D6+10/1440</f>
        <v>0.42708333333333331</v>
      </c>
      <c r="F6" s="15" t="s">
        <v>190</v>
      </c>
      <c r="G6" s="15" t="s">
        <v>290</v>
      </c>
      <c r="H6" s="15" t="s">
        <v>291</v>
      </c>
      <c r="I6" s="15" t="s">
        <v>193</v>
      </c>
    </row>
    <row r="7" spans="1:9" ht="99.75" customHeight="1" x14ac:dyDescent="0.25">
      <c r="A7" s="12">
        <v>2</v>
      </c>
      <c r="B7" s="27" t="s">
        <v>195</v>
      </c>
      <c r="C7" s="15" t="s">
        <v>292</v>
      </c>
      <c r="D7" s="16" t="s">
        <v>17</v>
      </c>
      <c r="E7" s="13">
        <f t="shared" si="0"/>
        <v>0.43402777777777773</v>
      </c>
      <c r="F7" s="15" t="s">
        <v>197</v>
      </c>
      <c r="G7" s="15" t="s">
        <v>293</v>
      </c>
      <c r="H7" s="15" t="s">
        <v>294</v>
      </c>
      <c r="I7" s="15" t="s">
        <v>200</v>
      </c>
    </row>
    <row r="8" spans="1:9" ht="99.75" customHeight="1" x14ac:dyDescent="0.25">
      <c r="A8" s="12">
        <v>3</v>
      </c>
      <c r="B8" s="27" t="s">
        <v>201</v>
      </c>
      <c r="C8" s="15" t="s">
        <v>295</v>
      </c>
      <c r="D8" s="13">
        <f t="shared" ref="D8:D23" si="1">E7</f>
        <v>0.43402777777777773</v>
      </c>
      <c r="E8" s="13">
        <f t="shared" si="0"/>
        <v>0.44097222222222215</v>
      </c>
      <c r="F8" s="15" t="s">
        <v>197</v>
      </c>
      <c r="G8" s="15" t="s">
        <v>293</v>
      </c>
      <c r="H8" s="15" t="s">
        <v>294</v>
      </c>
      <c r="I8" s="15" t="s">
        <v>203</v>
      </c>
    </row>
    <row r="9" spans="1:9" ht="99.75" customHeight="1" x14ac:dyDescent="0.25">
      <c r="A9" s="12">
        <v>4</v>
      </c>
      <c r="B9" s="27" t="s">
        <v>204</v>
      </c>
      <c r="C9" s="15" t="s">
        <v>296</v>
      </c>
      <c r="D9" s="13">
        <f t="shared" si="1"/>
        <v>0.44097222222222215</v>
      </c>
      <c r="E9" s="13">
        <f t="shared" si="0"/>
        <v>0.44791666666666657</v>
      </c>
      <c r="F9" s="15" t="s">
        <v>215</v>
      </c>
      <c r="G9" s="15" t="s">
        <v>293</v>
      </c>
      <c r="H9" s="15" t="s">
        <v>294</v>
      </c>
      <c r="I9" s="15" t="s">
        <v>216</v>
      </c>
    </row>
    <row r="10" spans="1:9" ht="61.5" customHeight="1" x14ac:dyDescent="0.25">
      <c r="A10" s="12">
        <v>5</v>
      </c>
      <c r="B10" s="27" t="s">
        <v>217</v>
      </c>
      <c r="C10" s="15" t="s">
        <v>218</v>
      </c>
      <c r="D10" s="13">
        <f t="shared" si="1"/>
        <v>0.44791666666666657</v>
      </c>
      <c r="E10" s="13">
        <f t="shared" si="0"/>
        <v>0.45486111111111099</v>
      </c>
      <c r="F10" s="15" t="s">
        <v>219</v>
      </c>
      <c r="G10" s="15" t="s">
        <v>220</v>
      </c>
      <c r="H10" s="15" t="s">
        <v>221</v>
      </c>
      <c r="I10" s="15" t="s">
        <v>222</v>
      </c>
    </row>
    <row r="11" spans="1:9" ht="99.75" customHeight="1" x14ac:dyDescent="0.25">
      <c r="A11" s="12">
        <v>6</v>
      </c>
      <c r="B11" s="27" t="s">
        <v>224</v>
      </c>
      <c r="C11" s="15" t="s">
        <v>297</v>
      </c>
      <c r="D11" s="13">
        <f t="shared" si="1"/>
        <v>0.45486111111111099</v>
      </c>
      <c r="E11" s="13">
        <f t="shared" si="0"/>
        <v>0.46180555555555541</v>
      </c>
      <c r="F11" s="15" t="s">
        <v>226</v>
      </c>
      <c r="G11" s="15" t="s">
        <v>227</v>
      </c>
      <c r="H11" s="15" t="s">
        <v>298</v>
      </c>
      <c r="I11" s="15" t="s">
        <v>229</v>
      </c>
    </row>
    <row r="12" spans="1:9" ht="99.75" customHeight="1" x14ac:dyDescent="0.25">
      <c r="A12" s="12">
        <v>7</v>
      </c>
      <c r="B12" s="27" t="s">
        <v>230</v>
      </c>
      <c r="C12" s="15" t="s">
        <v>299</v>
      </c>
      <c r="D12" s="13">
        <f t="shared" si="1"/>
        <v>0.46180555555555541</v>
      </c>
      <c r="E12" s="13">
        <f t="shared" si="0"/>
        <v>0.46874999999999983</v>
      </c>
      <c r="F12" s="15" t="s">
        <v>226</v>
      </c>
      <c r="G12" s="15" t="s">
        <v>227</v>
      </c>
      <c r="H12" s="15" t="s">
        <v>298</v>
      </c>
      <c r="I12" s="15" t="s">
        <v>232</v>
      </c>
    </row>
    <row r="13" spans="1:9" ht="99.75" customHeight="1" x14ac:dyDescent="0.25">
      <c r="A13" s="12">
        <v>8</v>
      </c>
      <c r="B13" s="27" t="s">
        <v>233</v>
      </c>
      <c r="C13" s="15" t="s">
        <v>300</v>
      </c>
      <c r="D13" s="13">
        <f t="shared" si="1"/>
        <v>0.46874999999999983</v>
      </c>
      <c r="E13" s="13">
        <f t="shared" si="0"/>
        <v>0.47569444444444425</v>
      </c>
      <c r="F13" s="15" t="s">
        <v>226</v>
      </c>
      <c r="G13" s="15" t="s">
        <v>227</v>
      </c>
      <c r="H13" s="15" t="s">
        <v>298</v>
      </c>
      <c r="I13" s="15" t="s">
        <v>235</v>
      </c>
    </row>
    <row r="14" spans="1:9" ht="99.75" customHeight="1" x14ac:dyDescent="0.25">
      <c r="A14" s="12">
        <v>9</v>
      </c>
      <c r="B14" s="27" t="s">
        <v>236</v>
      </c>
      <c r="C14" s="15" t="s">
        <v>301</v>
      </c>
      <c r="D14" s="13">
        <f t="shared" si="1"/>
        <v>0.47569444444444425</v>
      </c>
      <c r="E14" s="13">
        <f t="shared" si="0"/>
        <v>0.48263888888888867</v>
      </c>
      <c r="F14" s="15" t="s">
        <v>238</v>
      </c>
      <c r="G14" s="15" t="s">
        <v>227</v>
      </c>
      <c r="H14" s="15" t="s">
        <v>298</v>
      </c>
      <c r="I14" s="15" t="s">
        <v>239</v>
      </c>
    </row>
    <row r="15" spans="1:9" ht="61.5" customHeight="1" x14ac:dyDescent="0.25">
      <c r="A15" s="12">
        <v>10</v>
      </c>
      <c r="B15" s="27" t="s">
        <v>240</v>
      </c>
      <c r="C15" s="15" t="s">
        <v>241</v>
      </c>
      <c r="D15" s="13">
        <f t="shared" si="1"/>
        <v>0.48263888888888867</v>
      </c>
      <c r="E15" s="13">
        <f t="shared" si="0"/>
        <v>0.48958333333333309</v>
      </c>
      <c r="F15" s="15" t="s">
        <v>242</v>
      </c>
      <c r="G15" s="15" t="s">
        <v>243</v>
      </c>
      <c r="H15" s="15" t="s">
        <v>302</v>
      </c>
      <c r="I15" s="15" t="s">
        <v>245</v>
      </c>
    </row>
    <row r="16" spans="1:9" ht="61.5" customHeight="1" x14ac:dyDescent="0.25">
      <c r="A16" s="12">
        <v>11</v>
      </c>
      <c r="B16" s="27" t="s">
        <v>246</v>
      </c>
      <c r="C16" s="15" t="s">
        <v>247</v>
      </c>
      <c r="D16" s="13">
        <f t="shared" si="1"/>
        <v>0.48958333333333309</v>
      </c>
      <c r="E16" s="13">
        <f t="shared" si="0"/>
        <v>0.49652777777777751</v>
      </c>
      <c r="F16" s="15" t="s">
        <v>248</v>
      </c>
      <c r="G16" s="15" t="s">
        <v>249</v>
      </c>
      <c r="H16" s="15" t="s">
        <v>250</v>
      </c>
      <c r="I16" s="15" t="s">
        <v>251</v>
      </c>
    </row>
    <row r="17" spans="1:9" ht="61.5" customHeight="1" x14ac:dyDescent="0.25">
      <c r="A17" s="12">
        <v>12</v>
      </c>
      <c r="B17" s="27" t="s">
        <v>252</v>
      </c>
      <c r="C17" s="15" t="s">
        <v>247</v>
      </c>
      <c r="D17" s="13">
        <f t="shared" si="1"/>
        <v>0.49652777777777751</v>
      </c>
      <c r="E17" s="13">
        <f t="shared" si="0"/>
        <v>0.50347222222222199</v>
      </c>
      <c r="F17" s="15" t="s">
        <v>253</v>
      </c>
      <c r="G17" s="15" t="s">
        <v>254</v>
      </c>
      <c r="H17" s="15" t="s">
        <v>250</v>
      </c>
      <c r="I17" s="15" t="s">
        <v>255</v>
      </c>
    </row>
    <row r="18" spans="1:9" ht="61.5" customHeight="1" x14ac:dyDescent="0.25">
      <c r="A18" s="12">
        <v>13</v>
      </c>
      <c r="B18" s="27" t="s">
        <v>256</v>
      </c>
      <c r="C18" s="15" t="s">
        <v>257</v>
      </c>
      <c r="D18" s="13">
        <f t="shared" si="1"/>
        <v>0.50347222222222199</v>
      </c>
      <c r="E18" s="13">
        <f t="shared" si="0"/>
        <v>0.51041666666666641</v>
      </c>
      <c r="F18" s="15" t="s">
        <v>258</v>
      </c>
      <c r="G18" s="15" t="s">
        <v>259</v>
      </c>
      <c r="H18" s="15" t="s">
        <v>303</v>
      </c>
      <c r="I18" s="15" t="s">
        <v>261</v>
      </c>
    </row>
    <row r="19" spans="1:9" ht="61.5" customHeight="1" x14ac:dyDescent="0.25">
      <c r="A19" s="12">
        <v>14</v>
      </c>
      <c r="B19" s="27" t="s">
        <v>262</v>
      </c>
      <c r="C19" s="15" t="s">
        <v>76</v>
      </c>
      <c r="D19" s="13">
        <f t="shared" si="1"/>
        <v>0.51041666666666641</v>
      </c>
      <c r="E19" s="13">
        <f t="shared" si="0"/>
        <v>0.51736111111111083</v>
      </c>
      <c r="F19" s="15" t="s">
        <v>263</v>
      </c>
      <c r="G19" s="15" t="s">
        <v>264</v>
      </c>
      <c r="H19" s="15" t="s">
        <v>265</v>
      </c>
      <c r="I19" s="15" t="s">
        <v>266</v>
      </c>
    </row>
    <row r="20" spans="1:9" ht="61.5" customHeight="1" x14ac:dyDescent="0.25">
      <c r="A20" s="12">
        <v>15</v>
      </c>
      <c r="B20" s="27" t="s">
        <v>267</v>
      </c>
      <c r="C20" s="15" t="s">
        <v>80</v>
      </c>
      <c r="D20" s="13">
        <f t="shared" si="1"/>
        <v>0.51736111111111083</v>
      </c>
      <c r="E20" s="13">
        <f t="shared" si="0"/>
        <v>0.52430555555555525</v>
      </c>
      <c r="F20" s="15" t="s">
        <v>268</v>
      </c>
      <c r="G20" s="15" t="s">
        <v>269</v>
      </c>
      <c r="H20" s="15" t="s">
        <v>270</v>
      </c>
      <c r="I20" s="15" t="s">
        <v>271</v>
      </c>
    </row>
    <row r="21" spans="1:9" ht="61.5" customHeight="1" x14ac:dyDescent="0.25">
      <c r="A21" s="12">
        <v>16</v>
      </c>
      <c r="B21" s="27" t="s">
        <v>272</v>
      </c>
      <c r="C21" s="15" t="s">
        <v>273</v>
      </c>
      <c r="D21" s="13">
        <f t="shared" si="1"/>
        <v>0.52430555555555525</v>
      </c>
      <c r="E21" s="13">
        <f>D21+15/1440</f>
        <v>0.53472222222222188</v>
      </c>
      <c r="F21" s="15" t="s">
        <v>304</v>
      </c>
      <c r="G21" s="15" t="s">
        <v>275</v>
      </c>
      <c r="H21" s="15" t="s">
        <v>305</v>
      </c>
      <c r="I21" s="15" t="s">
        <v>306</v>
      </c>
    </row>
    <row r="22" spans="1:9" ht="61.5" customHeight="1" x14ac:dyDescent="0.25">
      <c r="A22" s="12">
        <v>17</v>
      </c>
      <c r="B22" s="27" t="s">
        <v>279</v>
      </c>
      <c r="C22" s="15" t="s">
        <v>90</v>
      </c>
      <c r="D22" s="13">
        <f t="shared" si="1"/>
        <v>0.53472222222222188</v>
      </c>
      <c r="E22" s="13">
        <f>D22+15/1440</f>
        <v>0.54513888888888851</v>
      </c>
      <c r="F22" s="15" t="s">
        <v>280</v>
      </c>
      <c r="G22" s="15" t="s">
        <v>281</v>
      </c>
      <c r="H22" s="15" t="s">
        <v>282</v>
      </c>
      <c r="I22" s="15" t="s">
        <v>283</v>
      </c>
    </row>
    <row r="23" spans="1:9" ht="61.5" customHeight="1" x14ac:dyDescent="0.25">
      <c r="A23" s="12">
        <v>18</v>
      </c>
      <c r="B23" s="27" t="s">
        <v>284</v>
      </c>
      <c r="C23" s="15" t="s">
        <v>285</v>
      </c>
      <c r="D23" s="13">
        <f t="shared" si="1"/>
        <v>0.54513888888888851</v>
      </c>
      <c r="E23" s="13">
        <f>D23+15/1440</f>
        <v>0.55555555555555514</v>
      </c>
      <c r="F23" s="15" t="s">
        <v>286</v>
      </c>
      <c r="G23" s="15" t="s">
        <v>286</v>
      </c>
      <c r="H23" s="15" t="s">
        <v>286</v>
      </c>
      <c r="I23" s="15" t="s">
        <v>286</v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0" customWidth="1"/>
    <col min="3" max="6" width="14" customWidth="1"/>
    <col min="7" max="8" width="11" customWidth="1"/>
  </cols>
  <sheetData>
    <row r="1" spans="1:8" ht="19.5" customHeight="1" x14ac:dyDescent="0.3">
      <c r="A1" s="10" t="s">
        <v>307</v>
      </c>
      <c r="B1" s="10"/>
      <c r="C1" s="10"/>
      <c r="D1" s="10"/>
      <c r="E1" s="10"/>
      <c r="F1" s="10"/>
      <c r="G1" s="10"/>
    </row>
    <row r="2" spans="1:8" ht="15" customHeight="1" x14ac:dyDescent="0.25">
      <c r="A2" s="9" t="s">
        <v>308</v>
      </c>
      <c r="B2" s="9"/>
      <c r="C2" s="9"/>
      <c r="D2" s="9"/>
      <c r="E2" s="9"/>
      <c r="F2" s="9"/>
      <c r="G2" s="9"/>
    </row>
    <row r="4" spans="1:8" ht="27.75" customHeight="1" x14ac:dyDescent="0.25">
      <c r="A4" s="11" t="s">
        <v>3</v>
      </c>
      <c r="B4" s="11" t="s">
        <v>309</v>
      </c>
      <c r="C4" s="11" t="s">
        <v>111</v>
      </c>
      <c r="D4" s="11" t="s">
        <v>112</v>
      </c>
      <c r="E4" s="11" t="s">
        <v>157</v>
      </c>
      <c r="F4" s="11" t="s">
        <v>158</v>
      </c>
      <c r="G4" s="11" t="s">
        <v>310</v>
      </c>
      <c r="H4" s="11" t="s">
        <v>311</v>
      </c>
    </row>
    <row r="5" spans="1:8" ht="15" customHeight="1" x14ac:dyDescent="0.25">
      <c r="A5" s="12">
        <v>1</v>
      </c>
      <c r="B5" s="12" t="s">
        <v>312</v>
      </c>
      <c r="C5" s="14" t="s">
        <v>106</v>
      </c>
      <c r="D5" s="14" t="s">
        <v>110</v>
      </c>
      <c r="E5" s="19"/>
      <c r="F5" s="12" t="str">
        <f t="shared" ref="F5:F10" si="0">IF(E5="","",IF(E5=C5,D5,C5))</f>
        <v/>
      </c>
      <c r="G5" s="12" t="str">
        <f t="shared" ref="G5:G10" si="1">IF(E5="","",IF(E5=C5,100,50))</f>
        <v/>
      </c>
      <c r="H5" s="12" t="str">
        <f t="shared" ref="H5:H10" si="2">IF(E5="","",IF(E5=D5,100,50))</f>
        <v/>
      </c>
    </row>
    <row r="6" spans="1:8" ht="15" customHeight="1" x14ac:dyDescent="0.25">
      <c r="A6" s="12">
        <v>2</v>
      </c>
      <c r="B6" s="12" t="s">
        <v>313</v>
      </c>
      <c r="C6" s="14" t="s">
        <v>107</v>
      </c>
      <c r="D6" s="14" t="s">
        <v>111</v>
      </c>
      <c r="E6" s="19"/>
      <c r="F6" s="12" t="str">
        <f t="shared" si="0"/>
        <v/>
      </c>
      <c r="G6" s="12" t="str">
        <f t="shared" si="1"/>
        <v/>
      </c>
      <c r="H6" s="12" t="str">
        <f t="shared" si="2"/>
        <v/>
      </c>
    </row>
    <row r="7" spans="1:8" ht="15" customHeight="1" x14ac:dyDescent="0.25">
      <c r="A7" s="12">
        <v>3</v>
      </c>
      <c r="B7" s="12" t="s">
        <v>314</v>
      </c>
      <c r="C7" s="14" t="s">
        <v>108</v>
      </c>
      <c r="D7" s="14" t="s">
        <v>112</v>
      </c>
      <c r="E7" s="19"/>
      <c r="F7" s="12" t="str">
        <f t="shared" si="0"/>
        <v/>
      </c>
      <c r="G7" s="12" t="str">
        <f t="shared" si="1"/>
        <v/>
      </c>
      <c r="H7" s="12" t="str">
        <f t="shared" si="2"/>
        <v/>
      </c>
    </row>
    <row r="8" spans="1:8" ht="15" customHeight="1" x14ac:dyDescent="0.25">
      <c r="A8" s="12">
        <v>4</v>
      </c>
      <c r="B8" s="12" t="s">
        <v>315</v>
      </c>
      <c r="C8" s="14" t="s">
        <v>114</v>
      </c>
      <c r="D8" s="14" t="s">
        <v>118</v>
      </c>
      <c r="E8" s="19"/>
      <c r="F8" s="12" t="str">
        <f t="shared" si="0"/>
        <v/>
      </c>
      <c r="G8" s="12" t="str">
        <f t="shared" si="1"/>
        <v/>
      </c>
      <c r="H8" s="12" t="str">
        <f t="shared" si="2"/>
        <v/>
      </c>
    </row>
    <row r="9" spans="1:8" ht="15" customHeight="1" x14ac:dyDescent="0.25">
      <c r="A9" s="12">
        <v>5</v>
      </c>
      <c r="B9" s="12" t="s">
        <v>316</v>
      </c>
      <c r="C9" s="14" t="s">
        <v>115</v>
      </c>
      <c r="D9" s="14" t="s">
        <v>120</v>
      </c>
      <c r="E9" s="19"/>
      <c r="F9" s="12" t="str">
        <f t="shared" si="0"/>
        <v/>
      </c>
      <c r="G9" s="12" t="str">
        <f t="shared" si="1"/>
        <v/>
      </c>
      <c r="H9" s="12" t="str">
        <f t="shared" si="2"/>
        <v/>
      </c>
    </row>
    <row r="10" spans="1:8" ht="15" customHeight="1" x14ac:dyDescent="0.25">
      <c r="A10" s="12">
        <v>6</v>
      </c>
      <c r="B10" s="12" t="s">
        <v>317</v>
      </c>
      <c r="C10" s="14" t="s">
        <v>119</v>
      </c>
      <c r="D10" s="14" t="s">
        <v>116</v>
      </c>
      <c r="E10" s="19"/>
      <c r="F10" s="12" t="str">
        <f t="shared" si="0"/>
        <v/>
      </c>
      <c r="G10" s="12" t="str">
        <f t="shared" si="1"/>
        <v/>
      </c>
      <c r="H10" s="12" t="str">
        <f t="shared" si="2"/>
        <v/>
      </c>
    </row>
    <row r="12" spans="1:8" ht="15" customHeight="1" x14ac:dyDescent="0.25">
      <c r="A12" s="3" t="s">
        <v>318</v>
      </c>
      <c r="B12" s="3"/>
      <c r="C12" s="3"/>
      <c r="D12" s="3"/>
      <c r="E12" s="3"/>
      <c r="F12" s="3"/>
      <c r="G12" s="3"/>
      <c r="H12" s="3"/>
    </row>
  </sheetData>
  <mergeCells count="3">
    <mergeCell ref="A1:G1"/>
    <mergeCell ref="A2:G2"/>
    <mergeCell ref="A12:H12"/>
  </mergeCells>
  <dataValidations count="1">
    <dataValidation type="list" allowBlank="1" sqref="E5:E10" xr:uid="{00000000-0002-0000-0600-000000000000}">
      <formula1>$C5:$D5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8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4" width="20" customWidth="1"/>
    <col min="5" max="5" width="15" customWidth="1"/>
    <col min="6" max="6" width="10" customWidth="1"/>
    <col min="7" max="7" width="12" customWidth="1"/>
  </cols>
  <sheetData>
    <row r="1" spans="1:8" ht="19.5" customHeight="1" x14ac:dyDescent="0.3">
      <c r="A1" s="10" t="s">
        <v>319</v>
      </c>
      <c r="B1" s="10"/>
      <c r="C1" s="10"/>
      <c r="D1" s="10"/>
      <c r="E1" s="10"/>
      <c r="F1" s="10"/>
      <c r="G1" s="10"/>
      <c r="H1" s="10"/>
    </row>
    <row r="2" spans="1:8" ht="15" customHeight="1" x14ac:dyDescent="0.25">
      <c r="A2" s="9" t="s">
        <v>320</v>
      </c>
      <c r="B2" s="9"/>
      <c r="C2" s="9"/>
      <c r="D2" s="9"/>
      <c r="E2" s="9"/>
      <c r="F2" s="9"/>
      <c r="G2" s="9"/>
      <c r="H2" s="9"/>
    </row>
    <row r="4" spans="1:8" ht="27.75" customHeight="1" x14ac:dyDescent="0.25">
      <c r="A4" s="11" t="s">
        <v>321</v>
      </c>
      <c r="B4" s="11" t="s">
        <v>157</v>
      </c>
    </row>
    <row r="5" spans="1:8" ht="15" customHeight="1" x14ac:dyDescent="0.25">
      <c r="A5" s="27" t="s">
        <v>322</v>
      </c>
      <c r="B5" s="21" t="str">
        <f>IF(MAX($F$21:$F$32)=0,"",INDEX($A$21:$A$32,MATCH(1,$G$21:$G$32,0)))</f>
        <v/>
      </c>
    </row>
    <row r="6" spans="1:8" ht="15" customHeight="1" x14ac:dyDescent="0.25">
      <c r="A6" s="27" t="s">
        <v>323</v>
      </c>
      <c r="B6" s="21" t="str">
        <f>IF(MAX($E$36:$E$47)=0,"",INDEX($A$36:$A$47,MATCH(1,$F$36:$F$47,0)))</f>
        <v/>
      </c>
    </row>
    <row r="7" spans="1:8" ht="15" customHeight="1" x14ac:dyDescent="0.25">
      <c r="A7" s="27" t="s">
        <v>324</v>
      </c>
      <c r="B7" s="21" t="str">
        <f>IF(MAX($E$51:$E$62)=0,"",INDEX($A$51:$A$62,MATCH(1,$F$51:$F$62,0)))</f>
        <v/>
      </c>
    </row>
    <row r="8" spans="1:8" ht="15" customHeight="1" x14ac:dyDescent="0.25">
      <c r="A8" s="27" t="s">
        <v>325</v>
      </c>
      <c r="B8" s="21" t="str">
        <f>IF(MAX($E$66:$E$77)=0,"",INDEX($A$66:$A$77,MATCH(1,$F$66:$F$77,0)))</f>
        <v/>
      </c>
    </row>
    <row r="9" spans="1:8" ht="15" customHeight="1" x14ac:dyDescent="0.25">
      <c r="A9" s="27" t="s">
        <v>326</v>
      </c>
      <c r="B9" s="21" t="str">
        <f>IF(MAX($E$81:$E$92)=0,"",INDEX($A$81:$A$92,MATCH(1,$F$81:$F$92,0)))</f>
        <v/>
      </c>
    </row>
    <row r="10" spans="1:8" ht="15" customHeight="1" x14ac:dyDescent="0.25">
      <c r="A10" s="27" t="s">
        <v>327</v>
      </c>
      <c r="B10" s="21" t="str">
        <f>IF(MAX($E$96:$E$107)=0,"",INDEX($A$96:$A$107,MATCH(1,$F$96:$F$107,0)))</f>
        <v/>
      </c>
    </row>
    <row r="11" spans="1:8" ht="15" customHeight="1" x14ac:dyDescent="0.25">
      <c r="A11" s="27" t="s">
        <v>328</v>
      </c>
      <c r="B11" s="21" t="str">
        <f>IF(MAX($E$111:$E$122)=0,"",INDEX($A$111:$A$122,MATCH(1,$F$111:$F$122,0)))</f>
        <v/>
      </c>
    </row>
    <row r="12" spans="1:8" ht="15" customHeight="1" x14ac:dyDescent="0.25">
      <c r="A12" s="27" t="s">
        <v>329</v>
      </c>
      <c r="B12" s="21" t="str">
        <f>IF(MAX($E$126:$E$137)=0,"",INDEX($A$126:$A$137,MATCH(1,$F$126:$F$137,0)))</f>
        <v/>
      </c>
    </row>
    <row r="13" spans="1:8" ht="15" customHeight="1" x14ac:dyDescent="0.25">
      <c r="A13" s="27" t="s">
        <v>330</v>
      </c>
      <c r="B13" s="21" t="str">
        <f>IF(MAX($E$141:$E$152)=0,"",INDEX($A$141:$A$152,MATCH(1,$F$141:$F$152,0)))</f>
        <v/>
      </c>
    </row>
    <row r="14" spans="1:8" ht="15" customHeight="1" x14ac:dyDescent="0.25">
      <c r="A14" s="27" t="s">
        <v>331</v>
      </c>
      <c r="B14" s="21" t="str">
        <f>IF(MAX($E$156:$E$167)=0,"",INDEX($A$156:$A$167,MATCH(1,$F$156:$F$167,0)))</f>
        <v/>
      </c>
    </row>
    <row r="15" spans="1:8" ht="15" customHeight="1" x14ac:dyDescent="0.25">
      <c r="A15" s="27" t="s">
        <v>332</v>
      </c>
      <c r="B15" s="21" t="str">
        <f>IF(MAX($F$171:$F$182)=0,"",INDEX($A$171:$A$182,MATCH(1,$G$171:$G$182,0)))</f>
        <v/>
      </c>
    </row>
    <row r="17" spans="1:8" ht="15" customHeight="1" x14ac:dyDescent="0.25">
      <c r="A17" s="3" t="s">
        <v>333</v>
      </c>
      <c r="B17" s="3"/>
      <c r="C17" s="3"/>
      <c r="D17" s="3"/>
      <c r="E17" s="3"/>
      <c r="F17" s="3"/>
      <c r="G17" s="3"/>
      <c r="H17" s="3"/>
    </row>
    <row r="19" spans="1:8" ht="15" customHeight="1" x14ac:dyDescent="0.25">
      <c r="A19" s="2" t="s">
        <v>322</v>
      </c>
      <c r="B19" s="2"/>
      <c r="C19" s="2"/>
      <c r="D19" s="2"/>
      <c r="E19" s="2"/>
      <c r="F19" s="2"/>
      <c r="G19" s="2"/>
      <c r="H19" s="28" t="s">
        <v>334</v>
      </c>
    </row>
    <row r="20" spans="1:8" ht="33.75" customHeight="1" x14ac:dyDescent="0.25">
      <c r="A20" s="11" t="s">
        <v>163</v>
      </c>
      <c r="B20" s="11" t="s">
        <v>335</v>
      </c>
      <c r="C20" s="11" t="s">
        <v>336</v>
      </c>
      <c r="D20" s="11" t="s">
        <v>337</v>
      </c>
      <c r="E20" s="11" t="s">
        <v>338</v>
      </c>
      <c r="F20" s="11" t="s">
        <v>339</v>
      </c>
      <c r="G20" s="11" t="s">
        <v>340</v>
      </c>
      <c r="H20" s="22" t="str">
        <f>IF(MAX($F$21:$F$32)=0,"",INDEX($A$21:$A$32,MATCH(1,$G$21:$G$32,0)))</f>
        <v/>
      </c>
    </row>
    <row r="21" spans="1:8" ht="15" customHeight="1" x14ac:dyDescent="0.25">
      <c r="A21" s="17" t="str">
        <f>'Lịch thi đấu'!C7</f>
        <v>Đội 1</v>
      </c>
      <c r="B21" s="14"/>
      <c r="C21" s="14"/>
      <c r="D21" s="14"/>
      <c r="E21" s="14"/>
      <c r="F21" s="22">
        <f t="shared" ref="F21:F32" si="0">SUM(B21+C21+D21+E21)</f>
        <v>0</v>
      </c>
      <c r="G21" s="22">
        <f t="shared" ref="G21:G32" si="1">RANK(F21,$F$21:$F$32)</f>
        <v>1</v>
      </c>
    </row>
    <row r="22" spans="1:8" ht="15" customHeight="1" x14ac:dyDescent="0.25">
      <c r="A22" s="17" t="str">
        <f>'Lịch thi đấu'!D7</f>
        <v>Đội 2</v>
      </c>
      <c r="B22" s="14"/>
      <c r="C22" s="14"/>
      <c r="D22" s="14"/>
      <c r="E22" s="14"/>
      <c r="F22" s="22">
        <f t="shared" si="0"/>
        <v>0</v>
      </c>
      <c r="G22" s="22">
        <f t="shared" si="1"/>
        <v>1</v>
      </c>
    </row>
    <row r="23" spans="1:8" ht="15" customHeight="1" x14ac:dyDescent="0.25">
      <c r="A23" s="17" t="str">
        <f>'Lịch thi đấu'!C8</f>
        <v>Đội 3</v>
      </c>
      <c r="B23" s="14"/>
      <c r="C23" s="14"/>
      <c r="D23" s="14"/>
      <c r="E23" s="14"/>
      <c r="F23" s="22">
        <f t="shared" si="0"/>
        <v>0</v>
      </c>
      <c r="G23" s="22">
        <f t="shared" si="1"/>
        <v>1</v>
      </c>
    </row>
    <row r="24" spans="1:8" ht="15" customHeight="1" x14ac:dyDescent="0.25">
      <c r="A24" s="17" t="str">
        <f>'Lịch thi đấu'!C6</f>
        <v>Đội 4</v>
      </c>
      <c r="B24" s="14"/>
      <c r="C24" s="14"/>
      <c r="D24" s="14"/>
      <c r="E24" s="14"/>
      <c r="F24" s="22">
        <f t="shared" si="0"/>
        <v>0</v>
      </c>
      <c r="G24" s="22">
        <f t="shared" si="1"/>
        <v>1</v>
      </c>
    </row>
    <row r="25" spans="1:8" ht="15" customHeight="1" x14ac:dyDescent="0.25">
      <c r="A25" s="17" t="str">
        <f>'Lịch thi đấu'!D6</f>
        <v>Đội 5</v>
      </c>
      <c r="B25" s="14"/>
      <c r="C25" s="14"/>
      <c r="D25" s="14"/>
      <c r="E25" s="14"/>
      <c r="F25" s="22">
        <f t="shared" si="0"/>
        <v>0</v>
      </c>
      <c r="G25" s="22">
        <f t="shared" si="1"/>
        <v>1</v>
      </c>
    </row>
    <row r="26" spans="1:8" ht="15" customHeight="1" x14ac:dyDescent="0.25">
      <c r="A26" s="17" t="str">
        <f>'Lịch thi đấu'!B9</f>
        <v>Đội 6</v>
      </c>
      <c r="B26" s="14"/>
      <c r="C26" s="14"/>
      <c r="D26" s="14"/>
      <c r="E26" s="14"/>
      <c r="F26" s="22">
        <f t="shared" si="0"/>
        <v>0</v>
      </c>
      <c r="G26" s="22">
        <f t="shared" si="1"/>
        <v>1</v>
      </c>
    </row>
    <row r="27" spans="1:8" ht="15" customHeight="1" x14ac:dyDescent="0.25">
      <c r="A27" s="17" t="str">
        <f>'Lịch thi đấu'!C9</f>
        <v>Đội 7</v>
      </c>
      <c r="B27" s="14"/>
      <c r="C27" s="14"/>
      <c r="D27" s="14"/>
      <c r="E27" s="14"/>
      <c r="F27" s="22">
        <f t="shared" si="0"/>
        <v>0</v>
      </c>
      <c r="G27" s="22">
        <f t="shared" si="1"/>
        <v>1</v>
      </c>
    </row>
    <row r="28" spans="1:8" ht="15" customHeight="1" x14ac:dyDescent="0.25">
      <c r="A28" s="17" t="str">
        <f>'Lịch thi đấu'!D8</f>
        <v>Đội 8</v>
      </c>
      <c r="B28" s="14"/>
      <c r="C28" s="14"/>
      <c r="D28" s="14"/>
      <c r="E28" s="14"/>
      <c r="F28" s="22">
        <f t="shared" si="0"/>
        <v>0</v>
      </c>
      <c r="G28" s="22">
        <f t="shared" si="1"/>
        <v>1</v>
      </c>
    </row>
    <row r="29" spans="1:8" ht="15" customHeight="1" x14ac:dyDescent="0.25">
      <c r="A29" s="17" t="str">
        <f>'Lịch thi đấu'!B8</f>
        <v>Đội 9</v>
      </c>
      <c r="B29" s="14"/>
      <c r="C29" s="14"/>
      <c r="D29" s="14"/>
      <c r="E29" s="14"/>
      <c r="F29" s="22">
        <f t="shared" si="0"/>
        <v>0</v>
      </c>
      <c r="G29" s="22">
        <f t="shared" si="1"/>
        <v>1</v>
      </c>
    </row>
    <row r="30" spans="1:8" ht="15" customHeight="1" x14ac:dyDescent="0.25">
      <c r="A30" s="17" t="str">
        <f>'Lịch thi đấu'!B6</f>
        <v>Đội 10</v>
      </c>
      <c r="B30" s="14"/>
      <c r="C30" s="14"/>
      <c r="D30" s="14"/>
      <c r="E30" s="14"/>
      <c r="F30" s="22">
        <f t="shared" si="0"/>
        <v>0</v>
      </c>
      <c r="G30" s="22">
        <f t="shared" si="1"/>
        <v>1</v>
      </c>
    </row>
    <row r="31" spans="1:8" ht="15" customHeight="1" x14ac:dyDescent="0.25">
      <c r="A31" s="17" t="str">
        <f>'Lịch thi đấu'!D9</f>
        <v>Đội 11</v>
      </c>
      <c r="B31" s="14"/>
      <c r="C31" s="14"/>
      <c r="D31" s="14"/>
      <c r="E31" s="14"/>
      <c r="F31" s="22">
        <f t="shared" si="0"/>
        <v>0</v>
      </c>
      <c r="G31" s="22">
        <f t="shared" si="1"/>
        <v>1</v>
      </c>
    </row>
    <row r="32" spans="1:8" ht="15" customHeight="1" x14ac:dyDescent="0.25">
      <c r="A32" s="17" t="str">
        <f>'Lịch thi đấu'!B7</f>
        <v>Đội 12</v>
      </c>
      <c r="B32" s="14"/>
      <c r="C32" s="14"/>
      <c r="D32" s="14"/>
      <c r="E32" s="14"/>
      <c r="F32" s="22">
        <f t="shared" si="0"/>
        <v>0</v>
      </c>
      <c r="G32" s="22">
        <f t="shared" si="1"/>
        <v>1</v>
      </c>
    </row>
    <row r="34" spans="1:7" ht="15" customHeight="1" x14ac:dyDescent="0.25">
      <c r="A34" s="2" t="s">
        <v>323</v>
      </c>
      <c r="B34" s="2"/>
      <c r="C34" s="2"/>
      <c r="D34" s="2"/>
      <c r="E34" s="2"/>
      <c r="F34" s="2"/>
      <c r="G34" s="28" t="s">
        <v>334</v>
      </c>
    </row>
    <row r="35" spans="1:7" ht="33.75" customHeight="1" x14ac:dyDescent="0.25">
      <c r="A35" s="11" t="s">
        <v>163</v>
      </c>
      <c r="B35" s="11" t="s">
        <v>341</v>
      </c>
      <c r="C35" s="11" t="s">
        <v>342</v>
      </c>
      <c r="D35" s="11" t="s">
        <v>343</v>
      </c>
      <c r="E35" s="11" t="s">
        <v>339</v>
      </c>
      <c r="F35" s="11" t="s">
        <v>340</v>
      </c>
      <c r="G35" s="22" t="str">
        <f>IF(MAX($E$36:$E$47)=0,"",INDEX($A$36:$A$47,MATCH(1,$F$36:$F$47,0)))</f>
        <v/>
      </c>
    </row>
    <row r="36" spans="1:7" ht="15" customHeight="1" x14ac:dyDescent="0.25">
      <c r="A36" s="17" t="str">
        <f>'Lịch thi đấu'!C7</f>
        <v>Đội 1</v>
      </c>
      <c r="B36" s="14"/>
      <c r="C36" s="14"/>
      <c r="D36" s="14"/>
      <c r="E36" s="22">
        <f t="shared" ref="E36:E47" si="2">SUM(B36+C36+D36)</f>
        <v>0</v>
      </c>
      <c r="F36" s="22">
        <f t="shared" ref="F36:F47" si="3">RANK(E36,$E$36:$E$47)</f>
        <v>1</v>
      </c>
    </row>
    <row r="37" spans="1:7" ht="15" customHeight="1" x14ac:dyDescent="0.25">
      <c r="A37" s="17" t="str">
        <f>'Lịch thi đấu'!D7</f>
        <v>Đội 2</v>
      </c>
      <c r="B37" s="14"/>
      <c r="C37" s="14"/>
      <c r="D37" s="14"/>
      <c r="E37" s="22">
        <f t="shared" si="2"/>
        <v>0</v>
      </c>
      <c r="F37" s="22">
        <f t="shared" si="3"/>
        <v>1</v>
      </c>
    </row>
    <row r="38" spans="1:7" ht="15" customHeight="1" x14ac:dyDescent="0.25">
      <c r="A38" s="17" t="str">
        <f>'Lịch thi đấu'!C8</f>
        <v>Đội 3</v>
      </c>
      <c r="B38" s="14"/>
      <c r="C38" s="14"/>
      <c r="D38" s="14"/>
      <c r="E38" s="22">
        <f t="shared" si="2"/>
        <v>0</v>
      </c>
      <c r="F38" s="22">
        <f t="shared" si="3"/>
        <v>1</v>
      </c>
    </row>
    <row r="39" spans="1:7" ht="15" customHeight="1" x14ac:dyDescent="0.25">
      <c r="A39" s="17" t="str">
        <f>'Lịch thi đấu'!C6</f>
        <v>Đội 4</v>
      </c>
      <c r="B39" s="14"/>
      <c r="C39" s="14"/>
      <c r="D39" s="14"/>
      <c r="E39" s="22">
        <f t="shared" si="2"/>
        <v>0</v>
      </c>
      <c r="F39" s="22">
        <f t="shared" si="3"/>
        <v>1</v>
      </c>
    </row>
    <row r="40" spans="1:7" ht="15" customHeight="1" x14ac:dyDescent="0.25">
      <c r="A40" s="17" t="str">
        <f>'Lịch thi đấu'!D6</f>
        <v>Đội 5</v>
      </c>
      <c r="B40" s="14"/>
      <c r="C40" s="14"/>
      <c r="D40" s="14"/>
      <c r="E40" s="22">
        <f t="shared" si="2"/>
        <v>0</v>
      </c>
      <c r="F40" s="22">
        <f t="shared" si="3"/>
        <v>1</v>
      </c>
    </row>
    <row r="41" spans="1:7" ht="15" customHeight="1" x14ac:dyDescent="0.25">
      <c r="A41" s="17" t="str">
        <f>'Lịch thi đấu'!B9</f>
        <v>Đội 6</v>
      </c>
      <c r="B41" s="14"/>
      <c r="C41" s="14"/>
      <c r="D41" s="14"/>
      <c r="E41" s="22">
        <f t="shared" si="2"/>
        <v>0</v>
      </c>
      <c r="F41" s="22">
        <f t="shared" si="3"/>
        <v>1</v>
      </c>
    </row>
    <row r="42" spans="1:7" ht="15" customHeight="1" x14ac:dyDescent="0.25">
      <c r="A42" s="17" t="str">
        <f>'Lịch thi đấu'!C9</f>
        <v>Đội 7</v>
      </c>
      <c r="B42" s="14"/>
      <c r="C42" s="14"/>
      <c r="D42" s="14"/>
      <c r="E42" s="22">
        <f t="shared" si="2"/>
        <v>0</v>
      </c>
      <c r="F42" s="22">
        <f t="shared" si="3"/>
        <v>1</v>
      </c>
    </row>
    <row r="43" spans="1:7" ht="15" customHeight="1" x14ac:dyDescent="0.25">
      <c r="A43" s="17" t="str">
        <f>'Lịch thi đấu'!D8</f>
        <v>Đội 8</v>
      </c>
      <c r="B43" s="14"/>
      <c r="C43" s="14"/>
      <c r="D43" s="14"/>
      <c r="E43" s="22">
        <f t="shared" si="2"/>
        <v>0</v>
      </c>
      <c r="F43" s="22">
        <f t="shared" si="3"/>
        <v>1</v>
      </c>
    </row>
    <row r="44" spans="1:7" ht="15" customHeight="1" x14ac:dyDescent="0.25">
      <c r="A44" s="17" t="str">
        <f>'Lịch thi đấu'!B8</f>
        <v>Đội 9</v>
      </c>
      <c r="B44" s="14"/>
      <c r="C44" s="14"/>
      <c r="D44" s="14"/>
      <c r="E44" s="22">
        <f t="shared" si="2"/>
        <v>0</v>
      </c>
      <c r="F44" s="22">
        <f t="shared" si="3"/>
        <v>1</v>
      </c>
    </row>
    <row r="45" spans="1:7" ht="15" customHeight="1" x14ac:dyDescent="0.25">
      <c r="A45" s="17" t="str">
        <f>'Lịch thi đấu'!B6</f>
        <v>Đội 10</v>
      </c>
      <c r="B45" s="14"/>
      <c r="C45" s="14"/>
      <c r="D45" s="14"/>
      <c r="E45" s="22">
        <f t="shared" si="2"/>
        <v>0</v>
      </c>
      <c r="F45" s="22">
        <f t="shared" si="3"/>
        <v>1</v>
      </c>
    </row>
    <row r="46" spans="1:7" ht="15" customHeight="1" x14ac:dyDescent="0.25">
      <c r="A46" s="17" t="str">
        <f>'Lịch thi đấu'!D9</f>
        <v>Đội 11</v>
      </c>
      <c r="B46" s="14"/>
      <c r="C46" s="14"/>
      <c r="D46" s="14"/>
      <c r="E46" s="22">
        <f t="shared" si="2"/>
        <v>0</v>
      </c>
      <c r="F46" s="22">
        <f t="shared" si="3"/>
        <v>1</v>
      </c>
    </row>
    <row r="47" spans="1:7" ht="15" customHeight="1" x14ac:dyDescent="0.25">
      <c r="A47" s="17" t="str">
        <f>'Lịch thi đấu'!B7</f>
        <v>Đội 12</v>
      </c>
      <c r="B47" s="14"/>
      <c r="C47" s="14"/>
      <c r="D47" s="14"/>
      <c r="E47" s="22">
        <f t="shared" si="2"/>
        <v>0</v>
      </c>
      <c r="F47" s="22">
        <f t="shared" si="3"/>
        <v>1</v>
      </c>
    </row>
    <row r="49" spans="1:7" ht="15" customHeight="1" x14ac:dyDescent="0.25">
      <c r="A49" s="2" t="s">
        <v>324</v>
      </c>
      <c r="B49" s="2"/>
      <c r="C49" s="2"/>
      <c r="D49" s="2"/>
      <c r="E49" s="2"/>
      <c r="F49" s="2"/>
      <c r="G49" s="28" t="s">
        <v>334</v>
      </c>
    </row>
    <row r="50" spans="1:7" ht="33.75" customHeight="1" x14ac:dyDescent="0.25">
      <c r="A50" s="11" t="s">
        <v>163</v>
      </c>
      <c r="B50" s="11" t="s">
        <v>344</v>
      </c>
      <c r="C50" s="11" t="s">
        <v>345</v>
      </c>
      <c r="D50" s="11" t="s">
        <v>346</v>
      </c>
      <c r="E50" s="11" t="s">
        <v>339</v>
      </c>
      <c r="F50" s="11" t="s">
        <v>340</v>
      </c>
      <c r="G50" s="22" t="str">
        <f>IF(MAX($E$51:$E$62)=0,"",INDEX($A$51:$A$62,MATCH(1,$F$51:$F$62,0)))</f>
        <v/>
      </c>
    </row>
    <row r="51" spans="1:7" ht="15" customHeight="1" x14ac:dyDescent="0.25">
      <c r="A51" s="17" t="str">
        <f>'Lịch thi đấu'!C7</f>
        <v>Đội 1</v>
      </c>
      <c r="B51" s="14"/>
      <c r="C51" s="14"/>
      <c r="D51" s="14"/>
      <c r="E51" s="22">
        <f t="shared" ref="E51:E62" si="4">SUM(B51+C51+D51)</f>
        <v>0</v>
      </c>
      <c r="F51" s="22">
        <f t="shared" ref="F51:F62" si="5">RANK(E51,$E$51:$E$62)</f>
        <v>1</v>
      </c>
    </row>
    <row r="52" spans="1:7" ht="15" customHeight="1" x14ac:dyDescent="0.25">
      <c r="A52" s="17" t="str">
        <f>'Lịch thi đấu'!D7</f>
        <v>Đội 2</v>
      </c>
      <c r="B52" s="14"/>
      <c r="C52" s="14"/>
      <c r="D52" s="14"/>
      <c r="E52" s="22">
        <f t="shared" si="4"/>
        <v>0</v>
      </c>
      <c r="F52" s="22">
        <f t="shared" si="5"/>
        <v>1</v>
      </c>
    </row>
    <row r="53" spans="1:7" ht="15" customHeight="1" x14ac:dyDescent="0.25">
      <c r="A53" s="17" t="str">
        <f>'Lịch thi đấu'!C8</f>
        <v>Đội 3</v>
      </c>
      <c r="B53" s="14"/>
      <c r="C53" s="14"/>
      <c r="D53" s="14"/>
      <c r="E53" s="22">
        <f t="shared" si="4"/>
        <v>0</v>
      </c>
      <c r="F53" s="22">
        <f t="shared" si="5"/>
        <v>1</v>
      </c>
    </row>
    <row r="54" spans="1:7" ht="15" customHeight="1" x14ac:dyDescent="0.25">
      <c r="A54" s="17" t="str">
        <f>'Lịch thi đấu'!C6</f>
        <v>Đội 4</v>
      </c>
      <c r="B54" s="14"/>
      <c r="C54" s="14"/>
      <c r="D54" s="14"/>
      <c r="E54" s="22">
        <f t="shared" si="4"/>
        <v>0</v>
      </c>
      <c r="F54" s="22">
        <f t="shared" si="5"/>
        <v>1</v>
      </c>
    </row>
    <row r="55" spans="1:7" ht="15" customHeight="1" x14ac:dyDescent="0.25">
      <c r="A55" s="17" t="str">
        <f>'Lịch thi đấu'!D6</f>
        <v>Đội 5</v>
      </c>
      <c r="B55" s="14"/>
      <c r="C55" s="14"/>
      <c r="D55" s="14"/>
      <c r="E55" s="22">
        <f t="shared" si="4"/>
        <v>0</v>
      </c>
      <c r="F55" s="22">
        <f t="shared" si="5"/>
        <v>1</v>
      </c>
    </row>
    <row r="56" spans="1:7" ht="15" customHeight="1" x14ac:dyDescent="0.25">
      <c r="A56" s="17" t="str">
        <f>'Lịch thi đấu'!B9</f>
        <v>Đội 6</v>
      </c>
      <c r="B56" s="14"/>
      <c r="C56" s="14"/>
      <c r="D56" s="14"/>
      <c r="E56" s="22">
        <f t="shared" si="4"/>
        <v>0</v>
      </c>
      <c r="F56" s="22">
        <f t="shared" si="5"/>
        <v>1</v>
      </c>
    </row>
    <row r="57" spans="1:7" ht="15" customHeight="1" x14ac:dyDescent="0.25">
      <c r="A57" s="17" t="str">
        <f>'Lịch thi đấu'!C9</f>
        <v>Đội 7</v>
      </c>
      <c r="B57" s="14"/>
      <c r="C57" s="14"/>
      <c r="D57" s="14"/>
      <c r="E57" s="22">
        <f t="shared" si="4"/>
        <v>0</v>
      </c>
      <c r="F57" s="22">
        <f t="shared" si="5"/>
        <v>1</v>
      </c>
    </row>
    <row r="58" spans="1:7" ht="15" customHeight="1" x14ac:dyDescent="0.25">
      <c r="A58" s="17" t="str">
        <f>'Lịch thi đấu'!D8</f>
        <v>Đội 8</v>
      </c>
      <c r="B58" s="14"/>
      <c r="C58" s="14"/>
      <c r="D58" s="14"/>
      <c r="E58" s="22">
        <f t="shared" si="4"/>
        <v>0</v>
      </c>
      <c r="F58" s="22">
        <f t="shared" si="5"/>
        <v>1</v>
      </c>
    </row>
    <row r="59" spans="1:7" ht="15" customHeight="1" x14ac:dyDescent="0.25">
      <c r="A59" s="17" t="str">
        <f>'Lịch thi đấu'!B8</f>
        <v>Đội 9</v>
      </c>
      <c r="B59" s="14"/>
      <c r="C59" s="14"/>
      <c r="D59" s="14"/>
      <c r="E59" s="22">
        <f t="shared" si="4"/>
        <v>0</v>
      </c>
      <c r="F59" s="22">
        <f t="shared" si="5"/>
        <v>1</v>
      </c>
    </row>
    <row r="60" spans="1:7" ht="15" customHeight="1" x14ac:dyDescent="0.25">
      <c r="A60" s="17" t="str">
        <f>'Lịch thi đấu'!B6</f>
        <v>Đội 10</v>
      </c>
      <c r="B60" s="14"/>
      <c r="C60" s="14"/>
      <c r="D60" s="14"/>
      <c r="E60" s="22">
        <f t="shared" si="4"/>
        <v>0</v>
      </c>
      <c r="F60" s="22">
        <f t="shared" si="5"/>
        <v>1</v>
      </c>
    </row>
    <row r="61" spans="1:7" ht="15" customHeight="1" x14ac:dyDescent="0.25">
      <c r="A61" s="17" t="str">
        <f>'Lịch thi đấu'!D9</f>
        <v>Đội 11</v>
      </c>
      <c r="B61" s="14"/>
      <c r="C61" s="14"/>
      <c r="D61" s="14"/>
      <c r="E61" s="22">
        <f t="shared" si="4"/>
        <v>0</v>
      </c>
      <c r="F61" s="22">
        <f t="shared" si="5"/>
        <v>1</v>
      </c>
    </row>
    <row r="62" spans="1:7" ht="15" customHeight="1" x14ac:dyDescent="0.25">
      <c r="A62" s="17" t="str">
        <f>'Lịch thi đấu'!B7</f>
        <v>Đội 12</v>
      </c>
      <c r="B62" s="14"/>
      <c r="C62" s="14"/>
      <c r="D62" s="14"/>
      <c r="E62" s="22">
        <f t="shared" si="4"/>
        <v>0</v>
      </c>
      <c r="F62" s="22">
        <f t="shared" si="5"/>
        <v>1</v>
      </c>
    </row>
    <row r="64" spans="1:7" ht="15" customHeight="1" x14ac:dyDescent="0.25">
      <c r="A64" s="2" t="s">
        <v>325</v>
      </c>
      <c r="B64" s="2"/>
      <c r="C64" s="2"/>
      <c r="D64" s="2"/>
      <c r="E64" s="2"/>
      <c r="F64" s="2"/>
      <c r="G64" s="28" t="s">
        <v>334</v>
      </c>
    </row>
    <row r="65" spans="1:7" ht="33.75" customHeight="1" x14ac:dyDescent="0.25">
      <c r="A65" s="11" t="s">
        <v>163</v>
      </c>
      <c r="B65" s="11" t="s">
        <v>347</v>
      </c>
      <c r="C65" s="11" t="s">
        <v>348</v>
      </c>
      <c r="D65" s="11" t="s">
        <v>349</v>
      </c>
      <c r="E65" s="11" t="s">
        <v>339</v>
      </c>
      <c r="F65" s="11" t="s">
        <v>340</v>
      </c>
      <c r="G65" s="22" t="str">
        <f>IF(MAX($E$66:$E$77)=0,"",INDEX($A$66:$A$77,MATCH(1,$F$66:$F$77,0)))</f>
        <v/>
      </c>
    </row>
    <row r="66" spans="1:7" ht="15" customHeight="1" x14ac:dyDescent="0.25">
      <c r="A66" s="17" t="str">
        <f>'Lịch thi đấu'!C7</f>
        <v>Đội 1</v>
      </c>
      <c r="B66" s="14"/>
      <c r="C66" s="14"/>
      <c r="D66" s="14"/>
      <c r="E66" s="22">
        <f t="shared" ref="E66:E77" si="6">SUM(B66+C66+D66)</f>
        <v>0</v>
      </c>
      <c r="F66" s="22">
        <f t="shared" ref="F66:F77" si="7">RANK(E66,$E$66:$E$77)</f>
        <v>1</v>
      </c>
    </row>
    <row r="67" spans="1:7" ht="15" customHeight="1" x14ac:dyDescent="0.25">
      <c r="A67" s="17" t="str">
        <f>'Lịch thi đấu'!D7</f>
        <v>Đội 2</v>
      </c>
      <c r="B67" s="14"/>
      <c r="C67" s="14"/>
      <c r="D67" s="14"/>
      <c r="E67" s="22">
        <f t="shared" si="6"/>
        <v>0</v>
      </c>
      <c r="F67" s="22">
        <f t="shared" si="7"/>
        <v>1</v>
      </c>
    </row>
    <row r="68" spans="1:7" ht="15" customHeight="1" x14ac:dyDescent="0.25">
      <c r="A68" s="17" t="str">
        <f>'Lịch thi đấu'!C8</f>
        <v>Đội 3</v>
      </c>
      <c r="B68" s="14"/>
      <c r="C68" s="14"/>
      <c r="D68" s="14"/>
      <c r="E68" s="22">
        <f t="shared" si="6"/>
        <v>0</v>
      </c>
      <c r="F68" s="22">
        <f t="shared" si="7"/>
        <v>1</v>
      </c>
    </row>
    <row r="69" spans="1:7" ht="15" customHeight="1" x14ac:dyDescent="0.25">
      <c r="A69" s="17" t="str">
        <f>'Lịch thi đấu'!C6</f>
        <v>Đội 4</v>
      </c>
      <c r="B69" s="14"/>
      <c r="C69" s="14"/>
      <c r="D69" s="14"/>
      <c r="E69" s="22">
        <f t="shared" si="6"/>
        <v>0</v>
      </c>
      <c r="F69" s="22">
        <f t="shared" si="7"/>
        <v>1</v>
      </c>
    </row>
    <row r="70" spans="1:7" ht="15" customHeight="1" x14ac:dyDescent="0.25">
      <c r="A70" s="17" t="str">
        <f>'Lịch thi đấu'!D6</f>
        <v>Đội 5</v>
      </c>
      <c r="B70" s="14"/>
      <c r="C70" s="14"/>
      <c r="D70" s="14"/>
      <c r="E70" s="22">
        <f t="shared" si="6"/>
        <v>0</v>
      </c>
      <c r="F70" s="22">
        <f t="shared" si="7"/>
        <v>1</v>
      </c>
    </row>
    <row r="71" spans="1:7" ht="15" customHeight="1" x14ac:dyDescent="0.25">
      <c r="A71" s="17" t="str">
        <f>'Lịch thi đấu'!B9</f>
        <v>Đội 6</v>
      </c>
      <c r="B71" s="14"/>
      <c r="C71" s="14"/>
      <c r="D71" s="14"/>
      <c r="E71" s="22">
        <f t="shared" si="6"/>
        <v>0</v>
      </c>
      <c r="F71" s="22">
        <f t="shared" si="7"/>
        <v>1</v>
      </c>
    </row>
    <row r="72" spans="1:7" ht="15" customHeight="1" x14ac:dyDescent="0.25">
      <c r="A72" s="17" t="str">
        <f>'Lịch thi đấu'!C9</f>
        <v>Đội 7</v>
      </c>
      <c r="B72" s="14"/>
      <c r="C72" s="14"/>
      <c r="D72" s="14"/>
      <c r="E72" s="22">
        <f t="shared" si="6"/>
        <v>0</v>
      </c>
      <c r="F72" s="22">
        <f t="shared" si="7"/>
        <v>1</v>
      </c>
    </row>
    <row r="73" spans="1:7" ht="15" customHeight="1" x14ac:dyDescent="0.25">
      <c r="A73" s="17" t="str">
        <f>'Lịch thi đấu'!D8</f>
        <v>Đội 8</v>
      </c>
      <c r="B73" s="14"/>
      <c r="C73" s="14"/>
      <c r="D73" s="14"/>
      <c r="E73" s="22">
        <f t="shared" si="6"/>
        <v>0</v>
      </c>
      <c r="F73" s="22">
        <f t="shared" si="7"/>
        <v>1</v>
      </c>
    </row>
    <row r="74" spans="1:7" ht="15" customHeight="1" x14ac:dyDescent="0.25">
      <c r="A74" s="17" t="str">
        <f>'Lịch thi đấu'!B8</f>
        <v>Đội 9</v>
      </c>
      <c r="B74" s="14"/>
      <c r="C74" s="14"/>
      <c r="D74" s="14"/>
      <c r="E74" s="22">
        <f t="shared" si="6"/>
        <v>0</v>
      </c>
      <c r="F74" s="22">
        <f t="shared" si="7"/>
        <v>1</v>
      </c>
    </row>
    <row r="75" spans="1:7" ht="15" customHeight="1" x14ac:dyDescent="0.25">
      <c r="A75" s="17" t="str">
        <f>'Lịch thi đấu'!B6</f>
        <v>Đội 10</v>
      </c>
      <c r="B75" s="14"/>
      <c r="C75" s="14"/>
      <c r="D75" s="14"/>
      <c r="E75" s="22">
        <f t="shared" si="6"/>
        <v>0</v>
      </c>
      <c r="F75" s="22">
        <f t="shared" si="7"/>
        <v>1</v>
      </c>
    </row>
    <row r="76" spans="1:7" ht="15" customHeight="1" x14ac:dyDescent="0.25">
      <c r="A76" s="17" t="str">
        <f>'Lịch thi đấu'!D9</f>
        <v>Đội 11</v>
      </c>
      <c r="B76" s="14"/>
      <c r="C76" s="14"/>
      <c r="D76" s="14"/>
      <c r="E76" s="22">
        <f t="shared" si="6"/>
        <v>0</v>
      </c>
      <c r="F76" s="22">
        <f t="shared" si="7"/>
        <v>1</v>
      </c>
    </row>
    <row r="77" spans="1:7" ht="15" customHeight="1" x14ac:dyDescent="0.25">
      <c r="A77" s="17" t="str">
        <f>'Lịch thi đấu'!B7</f>
        <v>Đội 12</v>
      </c>
      <c r="B77" s="14"/>
      <c r="C77" s="14"/>
      <c r="D77" s="14"/>
      <c r="E77" s="22">
        <f t="shared" si="6"/>
        <v>0</v>
      </c>
      <c r="F77" s="22">
        <f t="shared" si="7"/>
        <v>1</v>
      </c>
    </row>
    <row r="79" spans="1:7" ht="15" customHeight="1" x14ac:dyDescent="0.25">
      <c r="A79" s="2" t="s">
        <v>326</v>
      </c>
      <c r="B79" s="2"/>
      <c r="C79" s="2"/>
      <c r="D79" s="2"/>
      <c r="E79" s="2"/>
      <c r="F79" s="2"/>
      <c r="G79" s="28" t="s">
        <v>334</v>
      </c>
    </row>
    <row r="80" spans="1:7" ht="33.75" customHeight="1" x14ac:dyDescent="0.25">
      <c r="A80" s="11" t="s">
        <v>163</v>
      </c>
      <c r="B80" s="11" t="s">
        <v>350</v>
      </c>
      <c r="C80" s="11" t="s">
        <v>351</v>
      </c>
      <c r="D80" s="11" t="s">
        <v>352</v>
      </c>
      <c r="E80" s="11" t="s">
        <v>339</v>
      </c>
      <c r="F80" s="11" t="s">
        <v>340</v>
      </c>
      <c r="G80" s="22" t="str">
        <f>IF(MAX($E$81:$E$92)=0,"",INDEX($A$81:$A$92,MATCH(1,$F$81:$F$92,0)))</f>
        <v/>
      </c>
    </row>
    <row r="81" spans="1:7" ht="15" customHeight="1" x14ac:dyDescent="0.25">
      <c r="A81" s="17" t="str">
        <f>'Lịch thi đấu'!C7</f>
        <v>Đội 1</v>
      </c>
      <c r="B81" s="14"/>
      <c r="C81" s="14"/>
      <c r="D81" s="14"/>
      <c r="E81" s="22">
        <f t="shared" ref="E81:E92" si="8">SUM(B81+C81+D81)</f>
        <v>0</v>
      </c>
      <c r="F81" s="22">
        <f t="shared" ref="F81:F92" si="9">RANK(E81,$E$81:$E$92)</f>
        <v>1</v>
      </c>
    </row>
    <row r="82" spans="1:7" ht="15" customHeight="1" x14ac:dyDescent="0.25">
      <c r="A82" s="17" t="str">
        <f>'Lịch thi đấu'!D7</f>
        <v>Đội 2</v>
      </c>
      <c r="B82" s="14"/>
      <c r="C82" s="14"/>
      <c r="D82" s="14"/>
      <c r="E82" s="22">
        <f t="shared" si="8"/>
        <v>0</v>
      </c>
      <c r="F82" s="22">
        <f t="shared" si="9"/>
        <v>1</v>
      </c>
    </row>
    <row r="83" spans="1:7" ht="15" customHeight="1" x14ac:dyDescent="0.25">
      <c r="A83" s="17" t="str">
        <f>'Lịch thi đấu'!C8</f>
        <v>Đội 3</v>
      </c>
      <c r="B83" s="14"/>
      <c r="C83" s="14"/>
      <c r="D83" s="14"/>
      <c r="E83" s="22">
        <f t="shared" si="8"/>
        <v>0</v>
      </c>
      <c r="F83" s="22">
        <f t="shared" si="9"/>
        <v>1</v>
      </c>
    </row>
    <row r="84" spans="1:7" ht="15" customHeight="1" x14ac:dyDescent="0.25">
      <c r="A84" s="17" t="str">
        <f>'Lịch thi đấu'!C6</f>
        <v>Đội 4</v>
      </c>
      <c r="B84" s="14"/>
      <c r="C84" s="14"/>
      <c r="D84" s="14"/>
      <c r="E84" s="22">
        <f t="shared" si="8"/>
        <v>0</v>
      </c>
      <c r="F84" s="22">
        <f t="shared" si="9"/>
        <v>1</v>
      </c>
    </row>
    <row r="85" spans="1:7" ht="15" customHeight="1" x14ac:dyDescent="0.25">
      <c r="A85" s="17" t="str">
        <f>'Lịch thi đấu'!D6</f>
        <v>Đội 5</v>
      </c>
      <c r="B85" s="14"/>
      <c r="C85" s="14"/>
      <c r="D85" s="14"/>
      <c r="E85" s="22">
        <f t="shared" si="8"/>
        <v>0</v>
      </c>
      <c r="F85" s="22">
        <f t="shared" si="9"/>
        <v>1</v>
      </c>
    </row>
    <row r="86" spans="1:7" ht="15" customHeight="1" x14ac:dyDescent="0.25">
      <c r="A86" s="17" t="str">
        <f>'Lịch thi đấu'!B9</f>
        <v>Đội 6</v>
      </c>
      <c r="B86" s="14"/>
      <c r="C86" s="14"/>
      <c r="D86" s="14"/>
      <c r="E86" s="22">
        <f t="shared" si="8"/>
        <v>0</v>
      </c>
      <c r="F86" s="22">
        <f t="shared" si="9"/>
        <v>1</v>
      </c>
    </row>
    <row r="87" spans="1:7" ht="15" customHeight="1" x14ac:dyDescent="0.25">
      <c r="A87" s="17" t="str">
        <f>'Lịch thi đấu'!C9</f>
        <v>Đội 7</v>
      </c>
      <c r="B87" s="14"/>
      <c r="C87" s="14"/>
      <c r="D87" s="14"/>
      <c r="E87" s="22">
        <f t="shared" si="8"/>
        <v>0</v>
      </c>
      <c r="F87" s="22">
        <f t="shared" si="9"/>
        <v>1</v>
      </c>
    </row>
    <row r="88" spans="1:7" ht="15" customHeight="1" x14ac:dyDescent="0.25">
      <c r="A88" s="17" t="str">
        <f>'Lịch thi đấu'!D8</f>
        <v>Đội 8</v>
      </c>
      <c r="B88" s="14"/>
      <c r="C88" s="14"/>
      <c r="D88" s="14"/>
      <c r="E88" s="22">
        <f t="shared" si="8"/>
        <v>0</v>
      </c>
      <c r="F88" s="22">
        <f t="shared" si="9"/>
        <v>1</v>
      </c>
    </row>
    <row r="89" spans="1:7" ht="15" customHeight="1" x14ac:dyDescent="0.25">
      <c r="A89" s="17" t="str">
        <f>'Lịch thi đấu'!B8</f>
        <v>Đội 9</v>
      </c>
      <c r="B89" s="14"/>
      <c r="C89" s="14"/>
      <c r="D89" s="14"/>
      <c r="E89" s="22">
        <f t="shared" si="8"/>
        <v>0</v>
      </c>
      <c r="F89" s="22">
        <f t="shared" si="9"/>
        <v>1</v>
      </c>
    </row>
    <row r="90" spans="1:7" ht="15" customHeight="1" x14ac:dyDescent="0.25">
      <c r="A90" s="17" t="str">
        <f>'Lịch thi đấu'!B6</f>
        <v>Đội 10</v>
      </c>
      <c r="B90" s="14"/>
      <c r="C90" s="14"/>
      <c r="D90" s="14"/>
      <c r="E90" s="22">
        <f t="shared" si="8"/>
        <v>0</v>
      </c>
      <c r="F90" s="22">
        <f t="shared" si="9"/>
        <v>1</v>
      </c>
    </row>
    <row r="91" spans="1:7" ht="15" customHeight="1" x14ac:dyDescent="0.25">
      <c r="A91" s="17" t="str">
        <f>'Lịch thi đấu'!D9</f>
        <v>Đội 11</v>
      </c>
      <c r="B91" s="14"/>
      <c r="C91" s="14"/>
      <c r="D91" s="14"/>
      <c r="E91" s="22">
        <f t="shared" si="8"/>
        <v>0</v>
      </c>
      <c r="F91" s="22">
        <f t="shared" si="9"/>
        <v>1</v>
      </c>
    </row>
    <row r="92" spans="1:7" ht="15" customHeight="1" x14ac:dyDescent="0.25">
      <c r="A92" s="17" t="str">
        <f>'Lịch thi đấu'!B7</f>
        <v>Đội 12</v>
      </c>
      <c r="B92" s="14"/>
      <c r="C92" s="14"/>
      <c r="D92" s="14"/>
      <c r="E92" s="22">
        <f t="shared" si="8"/>
        <v>0</v>
      </c>
      <c r="F92" s="22">
        <f t="shared" si="9"/>
        <v>1</v>
      </c>
    </row>
    <row r="94" spans="1:7" ht="15" customHeight="1" x14ac:dyDescent="0.25">
      <c r="A94" s="2" t="s">
        <v>327</v>
      </c>
      <c r="B94" s="2"/>
      <c r="C94" s="2"/>
      <c r="D94" s="2"/>
      <c r="E94" s="2"/>
      <c r="F94" s="2"/>
      <c r="G94" s="28" t="s">
        <v>334</v>
      </c>
    </row>
    <row r="95" spans="1:7" ht="33.75" customHeight="1" x14ac:dyDescent="0.25">
      <c r="A95" s="11" t="s">
        <v>163</v>
      </c>
      <c r="B95" s="11" t="s">
        <v>353</v>
      </c>
      <c r="C95" s="11" t="s">
        <v>354</v>
      </c>
      <c r="D95" s="11" t="s">
        <v>355</v>
      </c>
      <c r="E95" s="11" t="s">
        <v>339</v>
      </c>
      <c r="F95" s="11" t="s">
        <v>340</v>
      </c>
      <c r="G95" s="22" t="str">
        <f>IF(MAX($E$96:$E$107)=0,"",INDEX($A$96:$A$107,MATCH(1,$F$96:$F$107,0)))</f>
        <v/>
      </c>
    </row>
    <row r="96" spans="1:7" ht="15" customHeight="1" x14ac:dyDescent="0.25">
      <c r="A96" s="17" t="str">
        <f>'Lịch thi đấu'!C7</f>
        <v>Đội 1</v>
      </c>
      <c r="B96" s="14"/>
      <c r="C96" s="14"/>
      <c r="D96" s="14"/>
      <c r="E96" s="22">
        <f t="shared" ref="E96:E107" si="10">SUM(B96+C96+D96)</f>
        <v>0</v>
      </c>
      <c r="F96" s="22">
        <f t="shared" ref="F96:F107" si="11">RANK(E96,$E$96:$E$107)</f>
        <v>1</v>
      </c>
    </row>
    <row r="97" spans="1:7" ht="15" customHeight="1" x14ac:dyDescent="0.25">
      <c r="A97" s="17" t="str">
        <f>'Lịch thi đấu'!D7</f>
        <v>Đội 2</v>
      </c>
      <c r="B97" s="14"/>
      <c r="C97" s="14"/>
      <c r="D97" s="14"/>
      <c r="E97" s="22">
        <f t="shared" si="10"/>
        <v>0</v>
      </c>
      <c r="F97" s="22">
        <f t="shared" si="11"/>
        <v>1</v>
      </c>
    </row>
    <row r="98" spans="1:7" ht="15" customHeight="1" x14ac:dyDescent="0.25">
      <c r="A98" s="17" t="str">
        <f>'Lịch thi đấu'!C8</f>
        <v>Đội 3</v>
      </c>
      <c r="B98" s="14"/>
      <c r="C98" s="14"/>
      <c r="D98" s="14"/>
      <c r="E98" s="22">
        <f t="shared" si="10"/>
        <v>0</v>
      </c>
      <c r="F98" s="22">
        <f t="shared" si="11"/>
        <v>1</v>
      </c>
    </row>
    <row r="99" spans="1:7" ht="15" customHeight="1" x14ac:dyDescent="0.25">
      <c r="A99" s="17" t="str">
        <f>'Lịch thi đấu'!C6</f>
        <v>Đội 4</v>
      </c>
      <c r="B99" s="14"/>
      <c r="C99" s="14"/>
      <c r="D99" s="14"/>
      <c r="E99" s="22">
        <f t="shared" si="10"/>
        <v>0</v>
      </c>
      <c r="F99" s="22">
        <f t="shared" si="11"/>
        <v>1</v>
      </c>
    </row>
    <row r="100" spans="1:7" ht="15" customHeight="1" x14ac:dyDescent="0.25">
      <c r="A100" s="17" t="str">
        <f>'Lịch thi đấu'!D6</f>
        <v>Đội 5</v>
      </c>
      <c r="B100" s="14"/>
      <c r="C100" s="14"/>
      <c r="D100" s="14"/>
      <c r="E100" s="22">
        <f t="shared" si="10"/>
        <v>0</v>
      </c>
      <c r="F100" s="22">
        <f t="shared" si="11"/>
        <v>1</v>
      </c>
    </row>
    <row r="101" spans="1:7" ht="15" customHeight="1" x14ac:dyDescent="0.25">
      <c r="A101" s="17" t="str">
        <f>'Lịch thi đấu'!B9</f>
        <v>Đội 6</v>
      </c>
      <c r="B101" s="14"/>
      <c r="C101" s="14"/>
      <c r="D101" s="14"/>
      <c r="E101" s="22">
        <f t="shared" si="10"/>
        <v>0</v>
      </c>
      <c r="F101" s="22">
        <f t="shared" si="11"/>
        <v>1</v>
      </c>
    </row>
    <row r="102" spans="1:7" ht="15" customHeight="1" x14ac:dyDescent="0.25">
      <c r="A102" s="17" t="str">
        <f>'Lịch thi đấu'!C9</f>
        <v>Đội 7</v>
      </c>
      <c r="B102" s="14"/>
      <c r="C102" s="14"/>
      <c r="D102" s="14"/>
      <c r="E102" s="22">
        <f t="shared" si="10"/>
        <v>0</v>
      </c>
      <c r="F102" s="22">
        <f t="shared" si="11"/>
        <v>1</v>
      </c>
    </row>
    <row r="103" spans="1:7" ht="15" customHeight="1" x14ac:dyDescent="0.25">
      <c r="A103" s="17" t="str">
        <f>'Lịch thi đấu'!D8</f>
        <v>Đội 8</v>
      </c>
      <c r="B103" s="14"/>
      <c r="C103" s="14"/>
      <c r="D103" s="14"/>
      <c r="E103" s="22">
        <f t="shared" si="10"/>
        <v>0</v>
      </c>
      <c r="F103" s="22">
        <f t="shared" si="11"/>
        <v>1</v>
      </c>
    </row>
    <row r="104" spans="1:7" ht="15" customHeight="1" x14ac:dyDescent="0.25">
      <c r="A104" s="17" t="str">
        <f>'Lịch thi đấu'!B8</f>
        <v>Đội 9</v>
      </c>
      <c r="B104" s="14"/>
      <c r="C104" s="14"/>
      <c r="D104" s="14"/>
      <c r="E104" s="22">
        <f t="shared" si="10"/>
        <v>0</v>
      </c>
      <c r="F104" s="22">
        <f t="shared" si="11"/>
        <v>1</v>
      </c>
    </row>
    <row r="105" spans="1:7" ht="15" customHeight="1" x14ac:dyDescent="0.25">
      <c r="A105" s="17" t="str">
        <f>'Lịch thi đấu'!B6</f>
        <v>Đội 10</v>
      </c>
      <c r="B105" s="14"/>
      <c r="C105" s="14"/>
      <c r="D105" s="14"/>
      <c r="E105" s="22">
        <f t="shared" si="10"/>
        <v>0</v>
      </c>
      <c r="F105" s="22">
        <f t="shared" si="11"/>
        <v>1</v>
      </c>
    </row>
    <row r="106" spans="1:7" ht="15" customHeight="1" x14ac:dyDescent="0.25">
      <c r="A106" s="17" t="str">
        <f>'Lịch thi đấu'!D9</f>
        <v>Đội 11</v>
      </c>
      <c r="B106" s="14"/>
      <c r="C106" s="14"/>
      <c r="D106" s="14"/>
      <c r="E106" s="22">
        <f t="shared" si="10"/>
        <v>0</v>
      </c>
      <c r="F106" s="22">
        <f t="shared" si="11"/>
        <v>1</v>
      </c>
    </row>
    <row r="107" spans="1:7" ht="15" customHeight="1" x14ac:dyDescent="0.25">
      <c r="A107" s="17" t="str">
        <f>'Lịch thi đấu'!B7</f>
        <v>Đội 12</v>
      </c>
      <c r="B107" s="14"/>
      <c r="C107" s="14"/>
      <c r="D107" s="14"/>
      <c r="E107" s="22">
        <f t="shared" si="10"/>
        <v>0</v>
      </c>
      <c r="F107" s="22">
        <f t="shared" si="11"/>
        <v>1</v>
      </c>
    </row>
    <row r="109" spans="1:7" ht="15" customHeight="1" x14ac:dyDescent="0.25">
      <c r="A109" s="2" t="s">
        <v>328</v>
      </c>
      <c r="B109" s="2"/>
      <c r="C109" s="2"/>
      <c r="D109" s="2"/>
      <c r="E109" s="2"/>
      <c r="F109" s="2"/>
      <c r="G109" s="28" t="s">
        <v>334</v>
      </c>
    </row>
    <row r="110" spans="1:7" ht="33.75" customHeight="1" x14ac:dyDescent="0.25">
      <c r="A110" s="11" t="s">
        <v>163</v>
      </c>
      <c r="B110" s="11" t="s">
        <v>356</v>
      </c>
      <c r="C110" s="11" t="s">
        <v>357</v>
      </c>
      <c r="D110" s="11" t="s">
        <v>358</v>
      </c>
      <c r="E110" s="11" t="s">
        <v>339</v>
      </c>
      <c r="F110" s="11" t="s">
        <v>340</v>
      </c>
      <c r="G110" s="22" t="str">
        <f>IF(MAX($E$111:$E$122)=0,"",INDEX($A$111:$A$122,MATCH(1,$F$111:$F$122,0)))</f>
        <v/>
      </c>
    </row>
    <row r="111" spans="1:7" ht="15" customHeight="1" x14ac:dyDescent="0.25">
      <c r="A111" s="17" t="str">
        <f>'Lịch thi đấu'!C7</f>
        <v>Đội 1</v>
      </c>
      <c r="B111" s="14"/>
      <c r="C111" s="14"/>
      <c r="D111" s="14"/>
      <c r="E111" s="22">
        <f t="shared" ref="E111:E122" si="12">SUM(B111+C111+D111)</f>
        <v>0</v>
      </c>
      <c r="F111" s="22">
        <f t="shared" ref="F111:F122" si="13">RANK(E111,$E$111:$E$122)</f>
        <v>1</v>
      </c>
    </row>
    <row r="112" spans="1:7" ht="15" customHeight="1" x14ac:dyDescent="0.25">
      <c r="A112" s="17" t="str">
        <f>'Lịch thi đấu'!D7</f>
        <v>Đội 2</v>
      </c>
      <c r="B112" s="14"/>
      <c r="C112" s="14"/>
      <c r="D112" s="14"/>
      <c r="E112" s="22">
        <f t="shared" si="12"/>
        <v>0</v>
      </c>
      <c r="F112" s="22">
        <f t="shared" si="13"/>
        <v>1</v>
      </c>
    </row>
    <row r="113" spans="1:7" ht="15" customHeight="1" x14ac:dyDescent="0.25">
      <c r="A113" s="17" t="str">
        <f>'Lịch thi đấu'!C8</f>
        <v>Đội 3</v>
      </c>
      <c r="B113" s="14"/>
      <c r="C113" s="14"/>
      <c r="D113" s="14"/>
      <c r="E113" s="22">
        <f t="shared" si="12"/>
        <v>0</v>
      </c>
      <c r="F113" s="22">
        <f t="shared" si="13"/>
        <v>1</v>
      </c>
    </row>
    <row r="114" spans="1:7" ht="15" customHeight="1" x14ac:dyDescent="0.25">
      <c r="A114" s="17" t="str">
        <f>'Lịch thi đấu'!C6</f>
        <v>Đội 4</v>
      </c>
      <c r="B114" s="14"/>
      <c r="C114" s="14"/>
      <c r="D114" s="14"/>
      <c r="E114" s="22">
        <f t="shared" si="12"/>
        <v>0</v>
      </c>
      <c r="F114" s="22">
        <f t="shared" si="13"/>
        <v>1</v>
      </c>
    </row>
    <row r="115" spans="1:7" ht="15" customHeight="1" x14ac:dyDescent="0.25">
      <c r="A115" s="17" t="str">
        <f>'Lịch thi đấu'!D6</f>
        <v>Đội 5</v>
      </c>
      <c r="B115" s="14"/>
      <c r="C115" s="14"/>
      <c r="D115" s="14"/>
      <c r="E115" s="22">
        <f t="shared" si="12"/>
        <v>0</v>
      </c>
      <c r="F115" s="22">
        <f t="shared" si="13"/>
        <v>1</v>
      </c>
    </row>
    <row r="116" spans="1:7" ht="15" customHeight="1" x14ac:dyDescent="0.25">
      <c r="A116" s="17" t="str">
        <f>'Lịch thi đấu'!B9</f>
        <v>Đội 6</v>
      </c>
      <c r="B116" s="14"/>
      <c r="C116" s="14"/>
      <c r="D116" s="14"/>
      <c r="E116" s="22">
        <f t="shared" si="12"/>
        <v>0</v>
      </c>
      <c r="F116" s="22">
        <f t="shared" si="13"/>
        <v>1</v>
      </c>
    </row>
    <row r="117" spans="1:7" ht="15" customHeight="1" x14ac:dyDescent="0.25">
      <c r="A117" s="17" t="str">
        <f>'Lịch thi đấu'!C9</f>
        <v>Đội 7</v>
      </c>
      <c r="B117" s="14"/>
      <c r="C117" s="14"/>
      <c r="D117" s="14"/>
      <c r="E117" s="22">
        <f t="shared" si="12"/>
        <v>0</v>
      </c>
      <c r="F117" s="22">
        <f t="shared" si="13"/>
        <v>1</v>
      </c>
    </row>
    <row r="118" spans="1:7" ht="15" customHeight="1" x14ac:dyDescent="0.25">
      <c r="A118" s="17" t="str">
        <f>'Lịch thi đấu'!D8</f>
        <v>Đội 8</v>
      </c>
      <c r="B118" s="14"/>
      <c r="C118" s="14"/>
      <c r="D118" s="14"/>
      <c r="E118" s="22">
        <f t="shared" si="12"/>
        <v>0</v>
      </c>
      <c r="F118" s="22">
        <f t="shared" si="13"/>
        <v>1</v>
      </c>
    </row>
    <row r="119" spans="1:7" ht="15" customHeight="1" x14ac:dyDescent="0.25">
      <c r="A119" s="17" t="str">
        <f>'Lịch thi đấu'!B8</f>
        <v>Đội 9</v>
      </c>
      <c r="B119" s="14"/>
      <c r="C119" s="14"/>
      <c r="D119" s="14"/>
      <c r="E119" s="22">
        <f t="shared" si="12"/>
        <v>0</v>
      </c>
      <c r="F119" s="22">
        <f t="shared" si="13"/>
        <v>1</v>
      </c>
    </row>
    <row r="120" spans="1:7" ht="15" customHeight="1" x14ac:dyDescent="0.25">
      <c r="A120" s="17" t="str">
        <f>'Lịch thi đấu'!B6</f>
        <v>Đội 10</v>
      </c>
      <c r="B120" s="14"/>
      <c r="C120" s="14"/>
      <c r="D120" s="14"/>
      <c r="E120" s="22">
        <f t="shared" si="12"/>
        <v>0</v>
      </c>
      <c r="F120" s="22">
        <f t="shared" si="13"/>
        <v>1</v>
      </c>
    </row>
    <row r="121" spans="1:7" ht="15" customHeight="1" x14ac:dyDescent="0.25">
      <c r="A121" s="17" t="str">
        <f>'Lịch thi đấu'!D9</f>
        <v>Đội 11</v>
      </c>
      <c r="B121" s="14"/>
      <c r="C121" s="14"/>
      <c r="D121" s="14"/>
      <c r="E121" s="22">
        <f t="shared" si="12"/>
        <v>0</v>
      </c>
      <c r="F121" s="22">
        <f t="shared" si="13"/>
        <v>1</v>
      </c>
    </row>
    <row r="122" spans="1:7" ht="15" customHeight="1" x14ac:dyDescent="0.25">
      <c r="A122" s="17" t="str">
        <f>'Lịch thi đấu'!B7</f>
        <v>Đội 12</v>
      </c>
      <c r="B122" s="14"/>
      <c r="C122" s="14"/>
      <c r="D122" s="14"/>
      <c r="E122" s="22">
        <f t="shared" si="12"/>
        <v>0</v>
      </c>
      <c r="F122" s="22">
        <f t="shared" si="13"/>
        <v>1</v>
      </c>
    </row>
    <row r="124" spans="1:7" ht="15" customHeight="1" x14ac:dyDescent="0.25">
      <c r="A124" s="2" t="s">
        <v>329</v>
      </c>
      <c r="B124" s="2"/>
      <c r="C124" s="2"/>
      <c r="D124" s="2"/>
      <c r="E124" s="2"/>
      <c r="F124" s="2"/>
      <c r="G124" s="28" t="s">
        <v>334</v>
      </c>
    </row>
    <row r="125" spans="1:7" ht="33.75" customHeight="1" x14ac:dyDescent="0.25">
      <c r="A125" s="11" t="s">
        <v>163</v>
      </c>
      <c r="B125" s="11" t="s">
        <v>359</v>
      </c>
      <c r="C125" s="11" t="s">
        <v>360</v>
      </c>
      <c r="D125" s="11" t="s">
        <v>361</v>
      </c>
      <c r="E125" s="11" t="s">
        <v>339</v>
      </c>
      <c r="F125" s="11" t="s">
        <v>340</v>
      </c>
      <c r="G125" s="22" t="str">
        <f>IF(MAX($E$126:$E$137)=0,"",INDEX($A$126:$A$137,MATCH(1,$F$126:$F$137,0)))</f>
        <v/>
      </c>
    </row>
    <row r="126" spans="1:7" ht="15" customHeight="1" x14ac:dyDescent="0.25">
      <c r="A126" s="17" t="str">
        <f>'Lịch thi đấu'!C7</f>
        <v>Đội 1</v>
      </c>
      <c r="B126" s="14"/>
      <c r="C126" s="14"/>
      <c r="D126" s="14"/>
      <c r="E126" s="22">
        <f t="shared" ref="E126:E137" si="14">SUM(B126+C126+D126)</f>
        <v>0</v>
      </c>
      <c r="F126" s="22">
        <f t="shared" ref="F126:F137" si="15">RANK(E126,$E$126:$E$137)</f>
        <v>1</v>
      </c>
    </row>
    <row r="127" spans="1:7" ht="15" customHeight="1" x14ac:dyDescent="0.25">
      <c r="A127" s="17" t="str">
        <f>'Lịch thi đấu'!D7</f>
        <v>Đội 2</v>
      </c>
      <c r="B127" s="14"/>
      <c r="C127" s="14"/>
      <c r="D127" s="14"/>
      <c r="E127" s="22">
        <f t="shared" si="14"/>
        <v>0</v>
      </c>
      <c r="F127" s="22">
        <f t="shared" si="15"/>
        <v>1</v>
      </c>
    </row>
    <row r="128" spans="1:7" ht="15" customHeight="1" x14ac:dyDescent="0.25">
      <c r="A128" s="17" t="str">
        <f>'Lịch thi đấu'!C8</f>
        <v>Đội 3</v>
      </c>
      <c r="B128" s="14"/>
      <c r="C128" s="14"/>
      <c r="D128" s="14"/>
      <c r="E128" s="22">
        <f t="shared" si="14"/>
        <v>0</v>
      </c>
      <c r="F128" s="22">
        <f t="shared" si="15"/>
        <v>1</v>
      </c>
    </row>
    <row r="129" spans="1:7" ht="15" customHeight="1" x14ac:dyDescent="0.25">
      <c r="A129" s="17" t="str">
        <f>'Lịch thi đấu'!C6</f>
        <v>Đội 4</v>
      </c>
      <c r="B129" s="14"/>
      <c r="C129" s="14"/>
      <c r="D129" s="14"/>
      <c r="E129" s="22">
        <f t="shared" si="14"/>
        <v>0</v>
      </c>
      <c r="F129" s="22">
        <f t="shared" si="15"/>
        <v>1</v>
      </c>
    </row>
    <row r="130" spans="1:7" ht="15" customHeight="1" x14ac:dyDescent="0.25">
      <c r="A130" s="17" t="str">
        <f>'Lịch thi đấu'!D6</f>
        <v>Đội 5</v>
      </c>
      <c r="B130" s="14"/>
      <c r="C130" s="14"/>
      <c r="D130" s="14"/>
      <c r="E130" s="22">
        <f t="shared" si="14"/>
        <v>0</v>
      </c>
      <c r="F130" s="22">
        <f t="shared" si="15"/>
        <v>1</v>
      </c>
    </row>
    <row r="131" spans="1:7" ht="15" customHeight="1" x14ac:dyDescent="0.25">
      <c r="A131" s="17" t="str">
        <f>'Lịch thi đấu'!B9</f>
        <v>Đội 6</v>
      </c>
      <c r="B131" s="14"/>
      <c r="C131" s="14"/>
      <c r="D131" s="14"/>
      <c r="E131" s="22">
        <f t="shared" si="14"/>
        <v>0</v>
      </c>
      <c r="F131" s="22">
        <f t="shared" si="15"/>
        <v>1</v>
      </c>
    </row>
    <row r="132" spans="1:7" ht="15" customHeight="1" x14ac:dyDescent="0.25">
      <c r="A132" s="17" t="str">
        <f>'Lịch thi đấu'!C9</f>
        <v>Đội 7</v>
      </c>
      <c r="B132" s="14"/>
      <c r="C132" s="14"/>
      <c r="D132" s="14"/>
      <c r="E132" s="22">
        <f t="shared" si="14"/>
        <v>0</v>
      </c>
      <c r="F132" s="22">
        <f t="shared" si="15"/>
        <v>1</v>
      </c>
    </row>
    <row r="133" spans="1:7" ht="15" customHeight="1" x14ac:dyDescent="0.25">
      <c r="A133" s="17" t="str">
        <f>'Lịch thi đấu'!D8</f>
        <v>Đội 8</v>
      </c>
      <c r="B133" s="14"/>
      <c r="C133" s="14"/>
      <c r="D133" s="14"/>
      <c r="E133" s="22">
        <f t="shared" si="14"/>
        <v>0</v>
      </c>
      <c r="F133" s="22">
        <f t="shared" si="15"/>
        <v>1</v>
      </c>
    </row>
    <row r="134" spans="1:7" ht="15" customHeight="1" x14ac:dyDescent="0.25">
      <c r="A134" s="17" t="str">
        <f>'Lịch thi đấu'!B8</f>
        <v>Đội 9</v>
      </c>
      <c r="B134" s="14"/>
      <c r="C134" s="14"/>
      <c r="D134" s="14"/>
      <c r="E134" s="22">
        <f t="shared" si="14"/>
        <v>0</v>
      </c>
      <c r="F134" s="22">
        <f t="shared" si="15"/>
        <v>1</v>
      </c>
    </row>
    <row r="135" spans="1:7" ht="15" customHeight="1" x14ac:dyDescent="0.25">
      <c r="A135" s="17" t="str">
        <f>'Lịch thi đấu'!B6</f>
        <v>Đội 10</v>
      </c>
      <c r="B135" s="14"/>
      <c r="C135" s="14"/>
      <c r="D135" s="14"/>
      <c r="E135" s="22">
        <f t="shared" si="14"/>
        <v>0</v>
      </c>
      <c r="F135" s="22">
        <f t="shared" si="15"/>
        <v>1</v>
      </c>
    </row>
    <row r="136" spans="1:7" ht="15" customHeight="1" x14ac:dyDescent="0.25">
      <c r="A136" s="17" t="str">
        <f>'Lịch thi đấu'!D9</f>
        <v>Đội 11</v>
      </c>
      <c r="B136" s="14"/>
      <c r="C136" s="14"/>
      <c r="D136" s="14"/>
      <c r="E136" s="22">
        <f t="shared" si="14"/>
        <v>0</v>
      </c>
      <c r="F136" s="22">
        <f t="shared" si="15"/>
        <v>1</v>
      </c>
    </row>
    <row r="137" spans="1:7" ht="15" customHeight="1" x14ac:dyDescent="0.25">
      <c r="A137" s="17" t="str">
        <f>'Lịch thi đấu'!B7</f>
        <v>Đội 12</v>
      </c>
      <c r="B137" s="14"/>
      <c r="C137" s="14"/>
      <c r="D137" s="14"/>
      <c r="E137" s="22">
        <f t="shared" si="14"/>
        <v>0</v>
      </c>
      <c r="F137" s="22">
        <f t="shared" si="15"/>
        <v>1</v>
      </c>
    </row>
    <row r="139" spans="1:7" ht="15" customHeight="1" x14ac:dyDescent="0.25">
      <c r="A139" s="2" t="s">
        <v>330</v>
      </c>
      <c r="B139" s="2"/>
      <c r="C139" s="2"/>
      <c r="D139" s="2"/>
      <c r="E139" s="2"/>
      <c r="F139" s="2"/>
      <c r="G139" s="28" t="s">
        <v>334</v>
      </c>
    </row>
    <row r="140" spans="1:7" ht="33.75" customHeight="1" x14ac:dyDescent="0.25">
      <c r="A140" s="11" t="s">
        <v>163</v>
      </c>
      <c r="B140" s="11" t="s">
        <v>362</v>
      </c>
      <c r="C140" s="11" t="s">
        <v>363</v>
      </c>
      <c r="D140" s="11" t="s">
        <v>364</v>
      </c>
      <c r="E140" s="11" t="s">
        <v>339</v>
      </c>
      <c r="F140" s="11" t="s">
        <v>340</v>
      </c>
      <c r="G140" s="22" t="str">
        <f>IF(MAX($E$141:$E$152)=0,"",INDEX($A$141:$A$152,MATCH(1,$F$141:$F$152,0)))</f>
        <v/>
      </c>
    </row>
    <row r="141" spans="1:7" ht="15" customHeight="1" x14ac:dyDescent="0.25">
      <c r="A141" s="17" t="str">
        <f>'Lịch thi đấu'!C7</f>
        <v>Đội 1</v>
      </c>
      <c r="B141" s="14"/>
      <c r="C141" s="14"/>
      <c r="D141" s="14"/>
      <c r="E141" s="22">
        <f t="shared" ref="E141:E152" si="16">SUM(B141+C141+D141)</f>
        <v>0</v>
      </c>
      <c r="F141" s="22">
        <f t="shared" ref="F141:F152" si="17">RANK(E141,$E$141:$E$152)</f>
        <v>1</v>
      </c>
    </row>
    <row r="142" spans="1:7" ht="15" customHeight="1" x14ac:dyDescent="0.25">
      <c r="A142" s="17" t="str">
        <f>'Lịch thi đấu'!D7</f>
        <v>Đội 2</v>
      </c>
      <c r="B142" s="14"/>
      <c r="C142" s="14"/>
      <c r="D142" s="14"/>
      <c r="E142" s="22">
        <f t="shared" si="16"/>
        <v>0</v>
      </c>
      <c r="F142" s="22">
        <f t="shared" si="17"/>
        <v>1</v>
      </c>
    </row>
    <row r="143" spans="1:7" ht="15" customHeight="1" x14ac:dyDescent="0.25">
      <c r="A143" s="17" t="str">
        <f>'Lịch thi đấu'!C8</f>
        <v>Đội 3</v>
      </c>
      <c r="B143" s="14"/>
      <c r="C143" s="14"/>
      <c r="D143" s="14"/>
      <c r="E143" s="22">
        <f t="shared" si="16"/>
        <v>0</v>
      </c>
      <c r="F143" s="22">
        <f t="shared" si="17"/>
        <v>1</v>
      </c>
    </row>
    <row r="144" spans="1:7" ht="15" customHeight="1" x14ac:dyDescent="0.25">
      <c r="A144" s="17" t="str">
        <f>'Lịch thi đấu'!C6</f>
        <v>Đội 4</v>
      </c>
      <c r="B144" s="14"/>
      <c r="C144" s="14"/>
      <c r="D144" s="14"/>
      <c r="E144" s="22">
        <f t="shared" si="16"/>
        <v>0</v>
      </c>
      <c r="F144" s="22">
        <f t="shared" si="17"/>
        <v>1</v>
      </c>
    </row>
    <row r="145" spans="1:7" ht="15" customHeight="1" x14ac:dyDescent="0.25">
      <c r="A145" s="17" t="str">
        <f>'Lịch thi đấu'!D6</f>
        <v>Đội 5</v>
      </c>
      <c r="B145" s="14"/>
      <c r="C145" s="14"/>
      <c r="D145" s="14"/>
      <c r="E145" s="22">
        <f t="shared" si="16"/>
        <v>0</v>
      </c>
      <c r="F145" s="22">
        <f t="shared" si="17"/>
        <v>1</v>
      </c>
    </row>
    <row r="146" spans="1:7" ht="15" customHeight="1" x14ac:dyDescent="0.25">
      <c r="A146" s="17" t="str">
        <f>'Lịch thi đấu'!B9</f>
        <v>Đội 6</v>
      </c>
      <c r="B146" s="14"/>
      <c r="C146" s="14"/>
      <c r="D146" s="14"/>
      <c r="E146" s="22">
        <f t="shared" si="16"/>
        <v>0</v>
      </c>
      <c r="F146" s="22">
        <f t="shared" si="17"/>
        <v>1</v>
      </c>
    </row>
    <row r="147" spans="1:7" ht="15" customHeight="1" x14ac:dyDescent="0.25">
      <c r="A147" s="17" t="str">
        <f>'Lịch thi đấu'!C9</f>
        <v>Đội 7</v>
      </c>
      <c r="B147" s="14"/>
      <c r="C147" s="14"/>
      <c r="D147" s="14"/>
      <c r="E147" s="22">
        <f t="shared" si="16"/>
        <v>0</v>
      </c>
      <c r="F147" s="22">
        <f t="shared" si="17"/>
        <v>1</v>
      </c>
    </row>
    <row r="148" spans="1:7" ht="15" customHeight="1" x14ac:dyDescent="0.25">
      <c r="A148" s="17" t="str">
        <f>'Lịch thi đấu'!D8</f>
        <v>Đội 8</v>
      </c>
      <c r="B148" s="14"/>
      <c r="C148" s="14"/>
      <c r="D148" s="14"/>
      <c r="E148" s="22">
        <f t="shared" si="16"/>
        <v>0</v>
      </c>
      <c r="F148" s="22">
        <f t="shared" si="17"/>
        <v>1</v>
      </c>
    </row>
    <row r="149" spans="1:7" ht="15" customHeight="1" x14ac:dyDescent="0.25">
      <c r="A149" s="17" t="str">
        <f>'Lịch thi đấu'!B8</f>
        <v>Đội 9</v>
      </c>
      <c r="B149" s="14"/>
      <c r="C149" s="14"/>
      <c r="D149" s="14"/>
      <c r="E149" s="22">
        <f t="shared" si="16"/>
        <v>0</v>
      </c>
      <c r="F149" s="22">
        <f t="shared" si="17"/>
        <v>1</v>
      </c>
    </row>
    <row r="150" spans="1:7" ht="15" customHeight="1" x14ac:dyDescent="0.25">
      <c r="A150" s="17" t="str">
        <f>'Lịch thi đấu'!B6</f>
        <v>Đội 10</v>
      </c>
      <c r="B150" s="14"/>
      <c r="C150" s="14"/>
      <c r="D150" s="14"/>
      <c r="E150" s="22">
        <f t="shared" si="16"/>
        <v>0</v>
      </c>
      <c r="F150" s="22">
        <f t="shared" si="17"/>
        <v>1</v>
      </c>
    </row>
    <row r="151" spans="1:7" ht="15" customHeight="1" x14ac:dyDescent="0.25">
      <c r="A151" s="17" t="str">
        <f>'Lịch thi đấu'!D9</f>
        <v>Đội 11</v>
      </c>
      <c r="B151" s="14"/>
      <c r="C151" s="14"/>
      <c r="D151" s="14"/>
      <c r="E151" s="22">
        <f t="shared" si="16"/>
        <v>0</v>
      </c>
      <c r="F151" s="22">
        <f t="shared" si="17"/>
        <v>1</v>
      </c>
    </row>
    <row r="152" spans="1:7" ht="15" customHeight="1" x14ac:dyDescent="0.25">
      <c r="A152" s="17" t="str">
        <f>'Lịch thi đấu'!B7</f>
        <v>Đội 12</v>
      </c>
      <c r="B152" s="14"/>
      <c r="C152" s="14"/>
      <c r="D152" s="14"/>
      <c r="E152" s="22">
        <f t="shared" si="16"/>
        <v>0</v>
      </c>
      <c r="F152" s="22">
        <f t="shared" si="17"/>
        <v>1</v>
      </c>
    </row>
    <row r="154" spans="1:7" ht="15" customHeight="1" x14ac:dyDescent="0.25">
      <c r="A154" s="2" t="s">
        <v>331</v>
      </c>
      <c r="B154" s="2"/>
      <c r="C154" s="2"/>
      <c r="D154" s="2"/>
      <c r="E154" s="2"/>
      <c r="F154" s="2"/>
      <c r="G154" s="28" t="s">
        <v>334</v>
      </c>
    </row>
    <row r="155" spans="1:7" ht="33.75" customHeight="1" x14ac:dyDescent="0.25">
      <c r="A155" s="11" t="s">
        <v>163</v>
      </c>
      <c r="B155" s="11" t="s">
        <v>365</v>
      </c>
      <c r="C155" s="11" t="s">
        <v>366</v>
      </c>
      <c r="D155" s="11" t="s">
        <v>367</v>
      </c>
      <c r="E155" s="11" t="s">
        <v>339</v>
      </c>
      <c r="F155" s="11" t="s">
        <v>340</v>
      </c>
      <c r="G155" s="22" t="str">
        <f>IF(MAX($E$156:$E$167)=0,"",INDEX($A$156:$A$167,MATCH(1,$F$156:$F$167,0)))</f>
        <v/>
      </c>
    </row>
    <row r="156" spans="1:7" ht="15" customHeight="1" x14ac:dyDescent="0.25">
      <c r="A156" s="17" t="str">
        <f>'Lịch thi đấu'!C7</f>
        <v>Đội 1</v>
      </c>
      <c r="B156" s="14"/>
      <c r="C156" s="14"/>
      <c r="D156" s="14"/>
      <c r="E156" s="22">
        <f t="shared" ref="E156:E167" si="18">SUM(B156+C156+D156)</f>
        <v>0</v>
      </c>
      <c r="F156" s="22">
        <f t="shared" ref="F156:F167" si="19">RANK(E156,$E$156:$E$167)</f>
        <v>1</v>
      </c>
    </row>
    <row r="157" spans="1:7" ht="15" customHeight="1" x14ac:dyDescent="0.25">
      <c r="A157" s="17" t="str">
        <f>'Lịch thi đấu'!D7</f>
        <v>Đội 2</v>
      </c>
      <c r="B157" s="14"/>
      <c r="C157" s="14"/>
      <c r="D157" s="14"/>
      <c r="E157" s="22">
        <f t="shared" si="18"/>
        <v>0</v>
      </c>
      <c r="F157" s="22">
        <f t="shared" si="19"/>
        <v>1</v>
      </c>
    </row>
    <row r="158" spans="1:7" ht="15" customHeight="1" x14ac:dyDescent="0.25">
      <c r="A158" s="17" t="str">
        <f>'Lịch thi đấu'!C8</f>
        <v>Đội 3</v>
      </c>
      <c r="B158" s="14"/>
      <c r="C158" s="14"/>
      <c r="D158" s="14"/>
      <c r="E158" s="22">
        <f t="shared" si="18"/>
        <v>0</v>
      </c>
      <c r="F158" s="22">
        <f t="shared" si="19"/>
        <v>1</v>
      </c>
    </row>
    <row r="159" spans="1:7" ht="15" customHeight="1" x14ac:dyDescent="0.25">
      <c r="A159" s="17" t="str">
        <f>'Lịch thi đấu'!C6</f>
        <v>Đội 4</v>
      </c>
      <c r="B159" s="14"/>
      <c r="C159" s="14"/>
      <c r="D159" s="14"/>
      <c r="E159" s="22">
        <f t="shared" si="18"/>
        <v>0</v>
      </c>
      <c r="F159" s="22">
        <f t="shared" si="19"/>
        <v>1</v>
      </c>
    </row>
    <row r="160" spans="1:7" ht="15" customHeight="1" x14ac:dyDescent="0.25">
      <c r="A160" s="17" t="str">
        <f>'Lịch thi đấu'!D6</f>
        <v>Đội 5</v>
      </c>
      <c r="B160" s="14"/>
      <c r="C160" s="14"/>
      <c r="D160" s="14"/>
      <c r="E160" s="22">
        <f t="shared" si="18"/>
        <v>0</v>
      </c>
      <c r="F160" s="22">
        <f t="shared" si="19"/>
        <v>1</v>
      </c>
    </row>
    <row r="161" spans="1:8" ht="15" customHeight="1" x14ac:dyDescent="0.25">
      <c r="A161" s="17" t="str">
        <f>'Lịch thi đấu'!B9</f>
        <v>Đội 6</v>
      </c>
      <c r="B161" s="14"/>
      <c r="C161" s="14"/>
      <c r="D161" s="14"/>
      <c r="E161" s="22">
        <f t="shared" si="18"/>
        <v>0</v>
      </c>
      <c r="F161" s="22">
        <f t="shared" si="19"/>
        <v>1</v>
      </c>
    </row>
    <row r="162" spans="1:8" ht="15" customHeight="1" x14ac:dyDescent="0.25">
      <c r="A162" s="17" t="str">
        <f>'Lịch thi đấu'!C9</f>
        <v>Đội 7</v>
      </c>
      <c r="B162" s="14"/>
      <c r="C162" s="14"/>
      <c r="D162" s="14"/>
      <c r="E162" s="22">
        <f t="shared" si="18"/>
        <v>0</v>
      </c>
      <c r="F162" s="22">
        <f t="shared" si="19"/>
        <v>1</v>
      </c>
    </row>
    <row r="163" spans="1:8" ht="15" customHeight="1" x14ac:dyDescent="0.25">
      <c r="A163" s="17" t="str">
        <f>'Lịch thi đấu'!D8</f>
        <v>Đội 8</v>
      </c>
      <c r="B163" s="14"/>
      <c r="C163" s="14"/>
      <c r="D163" s="14"/>
      <c r="E163" s="22">
        <f t="shared" si="18"/>
        <v>0</v>
      </c>
      <c r="F163" s="22">
        <f t="shared" si="19"/>
        <v>1</v>
      </c>
    </row>
    <row r="164" spans="1:8" ht="15" customHeight="1" x14ac:dyDescent="0.25">
      <c r="A164" s="17" t="str">
        <f>'Lịch thi đấu'!B8</f>
        <v>Đội 9</v>
      </c>
      <c r="B164" s="14"/>
      <c r="C164" s="14"/>
      <c r="D164" s="14"/>
      <c r="E164" s="22">
        <f t="shared" si="18"/>
        <v>0</v>
      </c>
      <c r="F164" s="22">
        <f t="shared" si="19"/>
        <v>1</v>
      </c>
    </row>
    <row r="165" spans="1:8" ht="15" customHeight="1" x14ac:dyDescent="0.25">
      <c r="A165" s="17" t="str">
        <f>'Lịch thi đấu'!B6</f>
        <v>Đội 10</v>
      </c>
      <c r="B165" s="14"/>
      <c r="C165" s="14"/>
      <c r="D165" s="14"/>
      <c r="E165" s="22">
        <f t="shared" si="18"/>
        <v>0</v>
      </c>
      <c r="F165" s="22">
        <f t="shared" si="19"/>
        <v>1</v>
      </c>
    </row>
    <row r="166" spans="1:8" ht="15" customHeight="1" x14ac:dyDescent="0.25">
      <c r="A166" s="17" t="str">
        <f>'Lịch thi đấu'!D9</f>
        <v>Đội 11</v>
      </c>
      <c r="B166" s="14"/>
      <c r="C166" s="14"/>
      <c r="D166" s="14"/>
      <c r="E166" s="22">
        <f t="shared" si="18"/>
        <v>0</v>
      </c>
      <c r="F166" s="22">
        <f t="shared" si="19"/>
        <v>1</v>
      </c>
    </row>
    <row r="167" spans="1:8" ht="15" customHeight="1" x14ac:dyDescent="0.25">
      <c r="A167" s="17" t="str">
        <f>'Lịch thi đấu'!B7</f>
        <v>Đội 12</v>
      </c>
      <c r="B167" s="14"/>
      <c r="C167" s="14"/>
      <c r="D167" s="14"/>
      <c r="E167" s="22">
        <f t="shared" si="18"/>
        <v>0</v>
      </c>
      <c r="F167" s="22">
        <f t="shared" si="19"/>
        <v>1</v>
      </c>
    </row>
    <row r="169" spans="1:8" ht="15" customHeight="1" x14ac:dyDescent="0.25">
      <c r="A169" s="2" t="s">
        <v>332</v>
      </c>
      <c r="B169" s="2"/>
      <c r="C169" s="2"/>
      <c r="D169" s="2"/>
      <c r="E169" s="2"/>
      <c r="F169" s="2"/>
      <c r="G169" s="2"/>
      <c r="H169" s="28" t="s">
        <v>334</v>
      </c>
    </row>
    <row r="170" spans="1:8" ht="33.75" customHeight="1" x14ac:dyDescent="0.25">
      <c r="A170" s="11" t="s">
        <v>163</v>
      </c>
      <c r="B170" s="11" t="s">
        <v>368</v>
      </c>
      <c r="C170" s="11" t="s">
        <v>369</v>
      </c>
      <c r="D170" s="11" t="s">
        <v>370</v>
      </c>
      <c r="E170" s="11" t="s">
        <v>371</v>
      </c>
      <c r="F170" s="11" t="s">
        <v>339</v>
      </c>
      <c r="G170" s="11" t="s">
        <v>340</v>
      </c>
      <c r="H170" s="22" t="str">
        <f>IF(MAX($F$171:$F$182)=0,"",INDEX($A$171:$A$182,MATCH(1,$G$171:$G$182,0)))</f>
        <v/>
      </c>
    </row>
    <row r="171" spans="1:8" ht="15" customHeight="1" x14ac:dyDescent="0.25">
      <c r="A171" s="17" t="str">
        <f>'Lịch thi đấu'!C7</f>
        <v>Đội 1</v>
      </c>
      <c r="B171" s="14"/>
      <c r="C171" s="14"/>
      <c r="D171" s="14"/>
      <c r="E171" s="14"/>
      <c r="F171" s="22">
        <f t="shared" ref="F171:F182" si="20">SUM(B171+C171+D171+E171)</f>
        <v>0</v>
      </c>
      <c r="G171" s="22">
        <f t="shared" ref="G171:G182" si="21">RANK(F171,$F$171:$F$182)</f>
        <v>1</v>
      </c>
    </row>
    <row r="172" spans="1:8" ht="15" customHeight="1" x14ac:dyDescent="0.25">
      <c r="A172" s="17" t="str">
        <f>'Lịch thi đấu'!D7</f>
        <v>Đội 2</v>
      </c>
      <c r="B172" s="14"/>
      <c r="C172" s="14"/>
      <c r="D172" s="14"/>
      <c r="E172" s="14"/>
      <c r="F172" s="22">
        <f t="shared" si="20"/>
        <v>0</v>
      </c>
      <c r="G172" s="22">
        <f t="shared" si="21"/>
        <v>1</v>
      </c>
    </row>
    <row r="173" spans="1:8" ht="15" customHeight="1" x14ac:dyDescent="0.25">
      <c r="A173" s="17" t="str">
        <f>'Lịch thi đấu'!C8</f>
        <v>Đội 3</v>
      </c>
      <c r="B173" s="14"/>
      <c r="C173" s="14"/>
      <c r="D173" s="14"/>
      <c r="E173" s="14"/>
      <c r="F173" s="22">
        <f t="shared" si="20"/>
        <v>0</v>
      </c>
      <c r="G173" s="22">
        <f t="shared" si="21"/>
        <v>1</v>
      </c>
    </row>
    <row r="174" spans="1:8" ht="15" customHeight="1" x14ac:dyDescent="0.25">
      <c r="A174" s="17" t="str">
        <f>'Lịch thi đấu'!C6</f>
        <v>Đội 4</v>
      </c>
      <c r="B174" s="14"/>
      <c r="C174" s="14"/>
      <c r="D174" s="14"/>
      <c r="E174" s="14"/>
      <c r="F174" s="22">
        <f t="shared" si="20"/>
        <v>0</v>
      </c>
      <c r="G174" s="22">
        <f t="shared" si="21"/>
        <v>1</v>
      </c>
    </row>
    <row r="175" spans="1:8" ht="15" customHeight="1" x14ac:dyDescent="0.25">
      <c r="A175" s="17" t="str">
        <f>'Lịch thi đấu'!D6</f>
        <v>Đội 5</v>
      </c>
      <c r="B175" s="14"/>
      <c r="C175" s="14"/>
      <c r="D175" s="14"/>
      <c r="E175" s="14"/>
      <c r="F175" s="22">
        <f t="shared" si="20"/>
        <v>0</v>
      </c>
      <c r="G175" s="22">
        <f t="shared" si="21"/>
        <v>1</v>
      </c>
    </row>
    <row r="176" spans="1:8" ht="15" customHeight="1" x14ac:dyDescent="0.25">
      <c r="A176" s="17" t="str">
        <f>'Lịch thi đấu'!B9</f>
        <v>Đội 6</v>
      </c>
      <c r="B176" s="14"/>
      <c r="C176" s="14"/>
      <c r="D176" s="14"/>
      <c r="E176" s="14"/>
      <c r="F176" s="22">
        <f t="shared" si="20"/>
        <v>0</v>
      </c>
      <c r="G176" s="22">
        <f t="shared" si="21"/>
        <v>1</v>
      </c>
    </row>
    <row r="177" spans="1:7" ht="15" customHeight="1" x14ac:dyDescent="0.25">
      <c r="A177" s="17" t="str">
        <f>'Lịch thi đấu'!C9</f>
        <v>Đội 7</v>
      </c>
      <c r="B177" s="14"/>
      <c r="C177" s="14"/>
      <c r="D177" s="14"/>
      <c r="E177" s="14"/>
      <c r="F177" s="22">
        <f t="shared" si="20"/>
        <v>0</v>
      </c>
      <c r="G177" s="22">
        <f t="shared" si="21"/>
        <v>1</v>
      </c>
    </row>
    <row r="178" spans="1:7" ht="15" customHeight="1" x14ac:dyDescent="0.25">
      <c r="A178" s="17" t="str">
        <f>'Lịch thi đấu'!D8</f>
        <v>Đội 8</v>
      </c>
      <c r="B178" s="14"/>
      <c r="C178" s="14"/>
      <c r="D178" s="14"/>
      <c r="E178" s="14"/>
      <c r="F178" s="22">
        <f t="shared" si="20"/>
        <v>0</v>
      </c>
      <c r="G178" s="22">
        <f t="shared" si="21"/>
        <v>1</v>
      </c>
    </row>
    <row r="179" spans="1:7" ht="15" customHeight="1" x14ac:dyDescent="0.25">
      <c r="A179" s="17" t="str">
        <f>'Lịch thi đấu'!B8</f>
        <v>Đội 9</v>
      </c>
      <c r="B179" s="14"/>
      <c r="C179" s="14"/>
      <c r="D179" s="14"/>
      <c r="E179" s="14"/>
      <c r="F179" s="22">
        <f t="shared" si="20"/>
        <v>0</v>
      </c>
      <c r="G179" s="22">
        <f t="shared" si="21"/>
        <v>1</v>
      </c>
    </row>
    <row r="180" spans="1:7" ht="15" customHeight="1" x14ac:dyDescent="0.25">
      <c r="A180" s="17" t="str">
        <f>'Lịch thi đấu'!B6</f>
        <v>Đội 10</v>
      </c>
      <c r="B180" s="14"/>
      <c r="C180" s="14"/>
      <c r="D180" s="14"/>
      <c r="E180" s="14"/>
      <c r="F180" s="22">
        <f t="shared" si="20"/>
        <v>0</v>
      </c>
      <c r="G180" s="22">
        <f t="shared" si="21"/>
        <v>1</v>
      </c>
    </row>
    <row r="181" spans="1:7" ht="15" customHeight="1" x14ac:dyDescent="0.25">
      <c r="A181" s="17" t="str">
        <f>'Lịch thi đấu'!D9</f>
        <v>Đội 11</v>
      </c>
      <c r="B181" s="14"/>
      <c r="C181" s="14"/>
      <c r="D181" s="14"/>
      <c r="E181" s="14"/>
      <c r="F181" s="22">
        <f t="shared" si="20"/>
        <v>0</v>
      </c>
      <c r="G181" s="22">
        <f t="shared" si="21"/>
        <v>1</v>
      </c>
    </row>
    <row r="182" spans="1:7" ht="15" customHeight="1" x14ac:dyDescent="0.25">
      <c r="A182" s="17" t="str">
        <f>'Lịch thi đấu'!B7</f>
        <v>Đội 12</v>
      </c>
      <c r="B182" s="14"/>
      <c r="C182" s="14"/>
      <c r="D182" s="14"/>
      <c r="E182" s="14"/>
      <c r="F182" s="22">
        <f t="shared" si="20"/>
        <v>0</v>
      </c>
      <c r="G182" s="22">
        <f t="shared" si="21"/>
        <v>1</v>
      </c>
    </row>
  </sheetData>
  <mergeCells count="14">
    <mergeCell ref="A124:F124"/>
    <mergeCell ref="A139:F139"/>
    <mergeCell ref="A154:F154"/>
    <mergeCell ref="A169:G169"/>
    <mergeCell ref="A49:F49"/>
    <mergeCell ref="A64:F64"/>
    <mergeCell ref="A79:F79"/>
    <mergeCell ref="A94:F94"/>
    <mergeCell ref="A109:F109"/>
    <mergeCell ref="A1:H1"/>
    <mergeCell ref="A2:H2"/>
    <mergeCell ref="A17:H17"/>
    <mergeCell ref="A19:G19"/>
    <mergeCell ref="A34:F34"/>
  </mergeCells>
  <dataValidations count="5">
    <dataValidation type="whole" allowBlank="1" sqref="B21:C32 C36:D47 C51:D62 C66:D77 C81:D92 C96:D107 C111:D122 C126:D137 C141:D152 C156:D167" xr:uid="{00000000-0002-0000-0700-000000000000}">
      <formula1>0</formula1>
      <formula2>30</formula2>
    </dataValidation>
    <dataValidation type="whole" allowBlank="1" sqref="D21:E32 C171:D182" xr:uid="{00000000-0002-0000-0700-000001000000}">
      <formula1>0</formula1>
      <formula2>20</formula2>
    </dataValidation>
    <dataValidation type="whole" allowBlank="1" sqref="B36:B47 B51:B62 B66:B77 B81:B92 B96:B107 B111:B122 B126:B137 B141:B152 B156:B167" xr:uid="{00000000-0002-0000-0700-000002000000}">
      <formula1>0</formula1>
      <formula2>40</formula2>
    </dataValidation>
    <dataValidation type="whole" allowBlank="1" sqref="B171:B182" xr:uid="{00000000-0002-0000-0700-000003000000}">
      <formula1>0</formula1>
      <formula2>50</formula2>
    </dataValidation>
    <dataValidation type="whole" allowBlank="1" sqref="E171:E182" xr:uid="{00000000-0002-0000-0700-000004000000}">
      <formula1>0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7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7109375" defaultRowHeight="15" outlineLevelCol="1" x14ac:dyDescent="0.25"/>
  <cols>
    <col min="1" max="1" width="20" customWidth="1"/>
    <col min="2" max="2" width="12" customWidth="1"/>
    <col min="3" max="3" width="16" customWidth="1"/>
    <col min="4" max="4" width="8" customWidth="1"/>
    <col min="5" max="5" width="3" customWidth="1"/>
    <col min="6" max="6" width="2" customWidth="1"/>
    <col min="7" max="7" width="18" customWidth="1" outlineLevel="1"/>
    <col min="8" max="8" width="10" customWidth="1" outlineLevel="1"/>
    <col min="9" max="9" width="8" customWidth="1" outlineLevel="1"/>
    <col min="10" max="10" width="10" customWidth="1" outlineLevel="1"/>
  </cols>
  <sheetData>
    <row r="1" spans="1:10" ht="19.5" customHeight="1" x14ac:dyDescent="0.3">
      <c r="A1" s="10" t="s">
        <v>372</v>
      </c>
      <c r="B1" s="10"/>
      <c r="C1" s="10"/>
      <c r="D1" s="10"/>
    </row>
    <row r="2" spans="1:10" ht="15" customHeight="1" x14ac:dyDescent="0.25">
      <c r="A2" s="9" t="s">
        <v>373</v>
      </c>
      <c r="B2" s="9"/>
      <c r="C2" s="9"/>
      <c r="D2" s="9"/>
    </row>
    <row r="3" spans="1:10" ht="15" customHeight="1" x14ac:dyDescent="0.25">
      <c r="A3" s="5" t="s">
        <v>374</v>
      </c>
      <c r="B3" s="5"/>
      <c r="C3" s="5"/>
      <c r="D3" s="5"/>
    </row>
    <row r="4" spans="1:10" ht="15" customHeight="1" x14ac:dyDescent="0.25">
      <c r="G4" s="29" t="s">
        <v>375</v>
      </c>
    </row>
    <row r="5" spans="1:10" ht="23.25" customHeight="1" x14ac:dyDescent="0.25">
      <c r="A5" s="11" t="s">
        <v>164</v>
      </c>
      <c r="B5" s="11" t="s">
        <v>163</v>
      </c>
      <c r="C5" s="11" t="s">
        <v>376</v>
      </c>
      <c r="D5" s="11" t="s">
        <v>340</v>
      </c>
      <c r="G5" s="24" t="s">
        <v>377</v>
      </c>
      <c r="H5" s="24" t="s">
        <v>163</v>
      </c>
      <c r="I5" s="24" t="s">
        <v>378</v>
      </c>
      <c r="J5" s="24" t="s">
        <v>379</v>
      </c>
    </row>
    <row r="6" spans="1:10" ht="15" customHeight="1" x14ac:dyDescent="0.25">
      <c r="A6" s="22" t="str">
        <f>IFERROR(INDEX($G$6:$G$45,MATCH(LARGE($J$6:$J$45,1),$J$6:$J$45,0)),"")</f>
        <v/>
      </c>
      <c r="B6" s="12" t="str">
        <f>IF(A6="","",IFERROR(INDEX($H$6:$H$45,MATCH(LARGE($J$6:$J$45,1),$J$6:$J$45,0)),""))</f>
        <v/>
      </c>
      <c r="C6" s="22" t="str">
        <f>IF(A6="","",IFERROR(INDEX($I$6:$I$45,MATCH(LARGE($J$6:$J$45,1),$J$6:$J$45,0)),""))</f>
        <v/>
      </c>
      <c r="D6" s="22" t="str">
        <f t="shared" ref="D6:D45" si="0">IF(A6="","",RANK(C6,$I$6:$I$45))</f>
        <v/>
      </c>
      <c r="G6" s="30" t="str">
        <f>IFERROR(INDEX('Nhập kết quả'!$D$40:$D$84,MATCH(1,'Nhập kết quả'!$F$40:$F$84,0)),"")</f>
        <v/>
      </c>
      <c r="H6" s="30" t="str">
        <f>IF(G6="","",IFERROR(INDEX('Nhập kết quả'!$C$40:$C$84,MATCH(G6,'Nhập kết quả'!$D$40:$D$84,0)),""))</f>
        <v/>
      </c>
      <c r="I6" s="30" t="str">
        <f>IF(G6="","",SUMIF('Nhập kết quả'!$D$40:$D$84,G6,'Nhập kết quả'!$E$40:$E$84))</f>
        <v/>
      </c>
      <c r="J6" s="25" t="str">
        <f>IF(G6="","",I6*1000-1)</f>
        <v/>
      </c>
    </row>
    <row r="7" spans="1:10" ht="15" customHeight="1" x14ac:dyDescent="0.25">
      <c r="A7" s="22" t="str">
        <f>IFERROR(INDEX($G$6:$G$45,MATCH(LARGE($J$6:$J$45,2),$J$6:$J$45,0)),"")</f>
        <v/>
      </c>
      <c r="B7" s="12" t="str">
        <f>IF(A7="","",IFERROR(INDEX($H$6:$H$45,MATCH(LARGE($J$6:$J$45,2),$J$6:$J$45,0)),""))</f>
        <v/>
      </c>
      <c r="C7" s="22" t="str">
        <f>IF(A7="","",IFERROR(INDEX($I$6:$I$45,MATCH(LARGE($J$6:$J$45,2),$J$6:$J$45,0)),""))</f>
        <v/>
      </c>
      <c r="D7" s="22" t="str">
        <f t="shared" si="0"/>
        <v/>
      </c>
      <c r="G7" s="30" t="str">
        <f>IFERROR(INDEX('Nhập kết quả'!$D$40:$D$84,MATCH(2,'Nhập kết quả'!$F$40:$F$84,0)),"")</f>
        <v/>
      </c>
      <c r="H7" s="30" t="str">
        <f>IF(G7="","",IFERROR(INDEX('Nhập kết quả'!$C$40:$C$84,MATCH(G7,'Nhập kết quả'!$D$40:$D$84,0)),""))</f>
        <v/>
      </c>
      <c r="I7" s="30" t="str">
        <f>IF(G7="","",SUMIF('Nhập kết quả'!$D$40:$D$84,G7,'Nhập kết quả'!$E$40:$E$84))</f>
        <v/>
      </c>
      <c r="J7" s="25" t="str">
        <f>IF(G7="","",I7*1000-2)</f>
        <v/>
      </c>
    </row>
    <row r="8" spans="1:10" ht="15" customHeight="1" x14ac:dyDescent="0.25">
      <c r="A8" s="22" t="str">
        <f>IFERROR(INDEX($G$6:$G$45,MATCH(LARGE($J$6:$J$45,3),$J$6:$J$45,0)),"")</f>
        <v/>
      </c>
      <c r="B8" s="12" t="str">
        <f>IF(A8="","",IFERROR(INDEX($H$6:$H$45,MATCH(LARGE($J$6:$J$45,3),$J$6:$J$45,0)),""))</f>
        <v/>
      </c>
      <c r="C8" s="22" t="str">
        <f>IF(A8="","",IFERROR(INDEX($I$6:$I$45,MATCH(LARGE($J$6:$J$45,3),$J$6:$J$45,0)),""))</f>
        <v/>
      </c>
      <c r="D8" s="22" t="str">
        <f t="shared" si="0"/>
        <v/>
      </c>
      <c r="G8" s="30" t="str">
        <f>IFERROR(INDEX('Nhập kết quả'!$D$40:$D$84,MATCH(3,'Nhập kết quả'!$F$40:$F$84,0)),"")</f>
        <v/>
      </c>
      <c r="H8" s="30" t="str">
        <f>IF(G8="","",IFERROR(INDEX('Nhập kết quả'!$C$40:$C$84,MATCH(G8,'Nhập kết quả'!$D$40:$D$84,0)),""))</f>
        <v/>
      </c>
      <c r="I8" s="30" t="str">
        <f>IF(G8="","",SUMIF('Nhập kết quả'!$D$40:$D$84,G8,'Nhập kết quả'!$E$40:$E$84))</f>
        <v/>
      </c>
      <c r="J8" s="25" t="str">
        <f>IF(G8="","",I8*1000-3)</f>
        <v/>
      </c>
    </row>
    <row r="9" spans="1:10" ht="15" customHeight="1" x14ac:dyDescent="0.25">
      <c r="A9" s="22" t="str">
        <f>IFERROR(INDEX($G$6:$G$45,MATCH(LARGE($J$6:$J$45,4),$J$6:$J$45,0)),"")</f>
        <v/>
      </c>
      <c r="B9" s="12" t="str">
        <f>IF(A9="","",IFERROR(INDEX($H$6:$H$45,MATCH(LARGE($J$6:$J$45,4),$J$6:$J$45,0)),""))</f>
        <v/>
      </c>
      <c r="C9" s="22" t="str">
        <f>IF(A9="","",IFERROR(INDEX($I$6:$I$45,MATCH(LARGE($J$6:$J$45,4),$J$6:$J$45,0)),""))</f>
        <v/>
      </c>
      <c r="D9" s="22" t="str">
        <f t="shared" si="0"/>
        <v/>
      </c>
      <c r="G9" s="30" t="str">
        <f>IFERROR(INDEX('Nhập kết quả'!$D$40:$D$84,MATCH(4,'Nhập kết quả'!$F$40:$F$84,0)),"")</f>
        <v/>
      </c>
      <c r="H9" s="30" t="str">
        <f>IF(G9="","",IFERROR(INDEX('Nhập kết quả'!$C$40:$C$84,MATCH(G9,'Nhập kết quả'!$D$40:$D$84,0)),""))</f>
        <v/>
      </c>
      <c r="I9" s="30" t="str">
        <f>IF(G9="","",SUMIF('Nhập kết quả'!$D$40:$D$84,G9,'Nhập kết quả'!$E$40:$E$84))</f>
        <v/>
      </c>
      <c r="J9" s="25" t="str">
        <f>IF(G9="","",I9*1000-4)</f>
        <v/>
      </c>
    </row>
    <row r="10" spans="1:10" ht="15" customHeight="1" x14ac:dyDescent="0.25">
      <c r="A10" s="22" t="str">
        <f>IFERROR(INDEX($G$6:$G$45,MATCH(LARGE($J$6:$J$45,5),$J$6:$J$45,0)),"")</f>
        <v/>
      </c>
      <c r="B10" s="12" t="str">
        <f>IF(A10="","",IFERROR(INDEX($H$6:$H$45,MATCH(LARGE($J$6:$J$45,5),$J$6:$J$45,0)),""))</f>
        <v/>
      </c>
      <c r="C10" s="22" t="str">
        <f>IF(A10="","",IFERROR(INDEX($I$6:$I$45,MATCH(LARGE($J$6:$J$45,5),$J$6:$J$45,0)),""))</f>
        <v/>
      </c>
      <c r="D10" s="22" t="str">
        <f t="shared" si="0"/>
        <v/>
      </c>
      <c r="G10" s="30" t="str">
        <f>IFERROR(INDEX('Nhập kết quả'!$D$40:$D$84,MATCH(5,'Nhập kết quả'!$F$40:$F$84,0)),"")</f>
        <v/>
      </c>
      <c r="H10" s="30" t="str">
        <f>IF(G10="","",IFERROR(INDEX('Nhập kết quả'!$C$40:$C$84,MATCH(G10,'Nhập kết quả'!$D$40:$D$84,0)),""))</f>
        <v/>
      </c>
      <c r="I10" s="30" t="str">
        <f>IF(G10="","",SUMIF('Nhập kết quả'!$D$40:$D$84,G10,'Nhập kết quả'!$E$40:$E$84))</f>
        <v/>
      </c>
      <c r="J10" s="25" t="str">
        <f>IF(G10="","",I10*1000-5)</f>
        <v/>
      </c>
    </row>
    <row r="11" spans="1:10" ht="15" customHeight="1" x14ac:dyDescent="0.25">
      <c r="A11" s="22" t="str">
        <f>IFERROR(INDEX($G$6:$G$45,MATCH(LARGE($J$6:$J$45,6),$J$6:$J$45,0)),"")</f>
        <v/>
      </c>
      <c r="B11" s="12" t="str">
        <f>IF(A11="","",IFERROR(INDEX($H$6:$H$45,MATCH(LARGE($J$6:$J$45,6),$J$6:$J$45,0)),""))</f>
        <v/>
      </c>
      <c r="C11" s="22" t="str">
        <f>IF(A11="","",IFERROR(INDEX($I$6:$I$45,MATCH(LARGE($J$6:$J$45,6),$J$6:$J$45,0)),""))</f>
        <v/>
      </c>
      <c r="D11" s="22" t="str">
        <f t="shared" si="0"/>
        <v/>
      </c>
      <c r="G11" s="30" t="str">
        <f>IFERROR(INDEX('Nhập kết quả'!$D$40:$D$84,MATCH(6,'Nhập kết quả'!$F$40:$F$84,0)),"")</f>
        <v/>
      </c>
      <c r="H11" s="30" t="str">
        <f>IF(G11="","",IFERROR(INDEX('Nhập kết quả'!$C$40:$C$84,MATCH(G11,'Nhập kết quả'!$D$40:$D$84,0)),""))</f>
        <v/>
      </c>
      <c r="I11" s="30" t="str">
        <f>IF(G11="","",SUMIF('Nhập kết quả'!$D$40:$D$84,G11,'Nhập kết quả'!$E$40:$E$84))</f>
        <v/>
      </c>
      <c r="J11" s="25" t="str">
        <f>IF(G11="","",I11*1000-6)</f>
        <v/>
      </c>
    </row>
    <row r="12" spans="1:10" ht="15" customHeight="1" x14ac:dyDescent="0.25">
      <c r="A12" s="22" t="str">
        <f>IFERROR(INDEX($G$6:$G$45,MATCH(LARGE($J$6:$J$45,7),$J$6:$J$45,0)),"")</f>
        <v/>
      </c>
      <c r="B12" s="12" t="str">
        <f>IF(A12="","",IFERROR(INDEX($H$6:$H$45,MATCH(LARGE($J$6:$J$45,7),$J$6:$J$45,0)),""))</f>
        <v/>
      </c>
      <c r="C12" s="22" t="str">
        <f>IF(A12="","",IFERROR(INDEX($I$6:$I$45,MATCH(LARGE($J$6:$J$45,7),$J$6:$J$45,0)),""))</f>
        <v/>
      </c>
      <c r="D12" s="22" t="str">
        <f t="shared" si="0"/>
        <v/>
      </c>
      <c r="G12" s="30" t="str">
        <f>IFERROR(INDEX('Nhập kết quả'!$D$40:$D$84,MATCH(7,'Nhập kết quả'!$F$40:$F$84,0)),"")</f>
        <v/>
      </c>
      <c r="H12" s="30" t="str">
        <f>IF(G12="","",IFERROR(INDEX('Nhập kết quả'!$C$40:$C$84,MATCH(G12,'Nhập kết quả'!$D$40:$D$84,0)),""))</f>
        <v/>
      </c>
      <c r="I12" s="30" t="str">
        <f>IF(G12="","",SUMIF('Nhập kết quả'!$D$40:$D$84,G12,'Nhập kết quả'!$E$40:$E$84))</f>
        <v/>
      </c>
      <c r="J12" s="25" t="str">
        <f>IF(G12="","",I12*1000-7)</f>
        <v/>
      </c>
    </row>
    <row r="13" spans="1:10" ht="15" customHeight="1" x14ac:dyDescent="0.25">
      <c r="A13" s="22" t="str">
        <f>IFERROR(INDEX($G$6:$G$45,MATCH(LARGE($J$6:$J$45,8),$J$6:$J$45,0)),"")</f>
        <v/>
      </c>
      <c r="B13" s="12" t="str">
        <f>IF(A13="","",IFERROR(INDEX($H$6:$H$45,MATCH(LARGE($J$6:$J$45,8),$J$6:$J$45,0)),""))</f>
        <v/>
      </c>
      <c r="C13" s="22" t="str">
        <f>IF(A13="","",IFERROR(INDEX($I$6:$I$45,MATCH(LARGE($J$6:$J$45,8),$J$6:$J$45,0)),""))</f>
        <v/>
      </c>
      <c r="D13" s="22" t="str">
        <f t="shared" si="0"/>
        <v/>
      </c>
      <c r="G13" s="30" t="str">
        <f>IFERROR(INDEX('Nhập kết quả'!$D$40:$D$84,MATCH(8,'Nhập kết quả'!$F$40:$F$84,0)),"")</f>
        <v/>
      </c>
      <c r="H13" s="30" t="str">
        <f>IF(G13="","",IFERROR(INDEX('Nhập kết quả'!$C$40:$C$84,MATCH(G13,'Nhập kết quả'!$D$40:$D$84,0)),""))</f>
        <v/>
      </c>
      <c r="I13" s="30" t="str">
        <f>IF(G13="","",SUMIF('Nhập kết quả'!$D$40:$D$84,G13,'Nhập kết quả'!$E$40:$E$84))</f>
        <v/>
      </c>
      <c r="J13" s="25" t="str">
        <f>IF(G13="","",I13*1000-8)</f>
        <v/>
      </c>
    </row>
    <row r="14" spans="1:10" ht="15" customHeight="1" x14ac:dyDescent="0.25">
      <c r="A14" s="22" t="str">
        <f>IFERROR(INDEX($G$6:$G$45,MATCH(LARGE($J$6:$J$45,9),$J$6:$J$45,0)),"")</f>
        <v/>
      </c>
      <c r="B14" s="12" t="str">
        <f>IF(A14="","",IFERROR(INDEX($H$6:$H$45,MATCH(LARGE($J$6:$J$45,9),$J$6:$J$45,0)),""))</f>
        <v/>
      </c>
      <c r="C14" s="22" t="str">
        <f>IF(A14="","",IFERROR(INDEX($I$6:$I$45,MATCH(LARGE($J$6:$J$45,9),$J$6:$J$45,0)),""))</f>
        <v/>
      </c>
      <c r="D14" s="22" t="str">
        <f t="shared" si="0"/>
        <v/>
      </c>
      <c r="G14" s="30" t="str">
        <f>IFERROR(INDEX('Nhập kết quả'!$D$40:$D$84,MATCH(9,'Nhập kết quả'!$F$40:$F$84,0)),"")</f>
        <v/>
      </c>
      <c r="H14" s="30" t="str">
        <f>IF(G14="","",IFERROR(INDEX('Nhập kết quả'!$C$40:$C$84,MATCH(G14,'Nhập kết quả'!$D$40:$D$84,0)),""))</f>
        <v/>
      </c>
      <c r="I14" s="30" t="str">
        <f>IF(G14="","",SUMIF('Nhập kết quả'!$D$40:$D$84,G14,'Nhập kết quả'!$E$40:$E$84))</f>
        <v/>
      </c>
      <c r="J14" s="25" t="str">
        <f>IF(G14="","",I14*1000-9)</f>
        <v/>
      </c>
    </row>
    <row r="15" spans="1:10" ht="15" customHeight="1" x14ac:dyDescent="0.25">
      <c r="A15" s="22" t="str">
        <f>IFERROR(INDEX($G$6:$G$45,MATCH(LARGE($J$6:$J$45,10),$J$6:$J$45,0)),"")</f>
        <v/>
      </c>
      <c r="B15" s="12" t="str">
        <f>IF(A15="","",IFERROR(INDEX($H$6:$H$45,MATCH(LARGE($J$6:$J$45,10),$J$6:$J$45,0)),""))</f>
        <v/>
      </c>
      <c r="C15" s="22" t="str">
        <f>IF(A15="","",IFERROR(INDEX($I$6:$I$45,MATCH(LARGE($J$6:$J$45,10),$J$6:$J$45,0)),""))</f>
        <v/>
      </c>
      <c r="D15" s="22" t="str">
        <f t="shared" si="0"/>
        <v/>
      </c>
      <c r="G15" s="30" t="str">
        <f>IFERROR(INDEX('Nhập kết quả'!$D$40:$D$84,MATCH(10,'Nhập kết quả'!$F$40:$F$84,0)),"")</f>
        <v/>
      </c>
      <c r="H15" s="30" t="str">
        <f>IF(G15="","",IFERROR(INDEX('Nhập kết quả'!$C$40:$C$84,MATCH(G15,'Nhập kết quả'!$D$40:$D$84,0)),""))</f>
        <v/>
      </c>
      <c r="I15" s="30" t="str">
        <f>IF(G15="","",SUMIF('Nhập kết quả'!$D$40:$D$84,G15,'Nhập kết quả'!$E$40:$E$84))</f>
        <v/>
      </c>
      <c r="J15" s="25" t="str">
        <f>IF(G15="","",I15*1000-10)</f>
        <v/>
      </c>
    </row>
    <row r="16" spans="1:10" ht="15" customHeight="1" x14ac:dyDescent="0.25">
      <c r="A16" s="22" t="str">
        <f>IFERROR(INDEX($G$6:$G$45,MATCH(LARGE($J$6:$J$45,11),$J$6:$J$45,0)),"")</f>
        <v/>
      </c>
      <c r="B16" s="12" t="str">
        <f>IF(A16="","",IFERROR(INDEX($H$6:$H$45,MATCH(LARGE($J$6:$J$45,11),$J$6:$J$45,0)),""))</f>
        <v/>
      </c>
      <c r="C16" s="22" t="str">
        <f>IF(A16="","",IFERROR(INDEX($I$6:$I$45,MATCH(LARGE($J$6:$J$45,11),$J$6:$J$45,0)),""))</f>
        <v/>
      </c>
      <c r="D16" s="22" t="str">
        <f t="shared" si="0"/>
        <v/>
      </c>
      <c r="G16" s="30" t="str">
        <f>IFERROR(INDEX('Nhập kết quả'!$D$40:$D$84,MATCH(11,'Nhập kết quả'!$F$40:$F$84,0)),"")</f>
        <v/>
      </c>
      <c r="H16" s="30" t="str">
        <f>IF(G16="","",IFERROR(INDEX('Nhập kết quả'!$C$40:$C$84,MATCH(G16,'Nhập kết quả'!$D$40:$D$84,0)),""))</f>
        <v/>
      </c>
      <c r="I16" s="30" t="str">
        <f>IF(G16="","",SUMIF('Nhập kết quả'!$D$40:$D$84,G16,'Nhập kết quả'!$E$40:$E$84))</f>
        <v/>
      </c>
      <c r="J16" s="25" t="str">
        <f>IF(G16="","",I16*1000-11)</f>
        <v/>
      </c>
    </row>
    <row r="17" spans="1:10" ht="15" customHeight="1" x14ac:dyDescent="0.25">
      <c r="A17" s="22" t="str">
        <f>IFERROR(INDEX($G$6:$G$45,MATCH(LARGE($J$6:$J$45,12),$J$6:$J$45,0)),"")</f>
        <v/>
      </c>
      <c r="B17" s="12" t="str">
        <f>IF(A17="","",IFERROR(INDEX($H$6:$H$45,MATCH(LARGE($J$6:$J$45,12),$J$6:$J$45,0)),""))</f>
        <v/>
      </c>
      <c r="C17" s="22" t="str">
        <f>IF(A17="","",IFERROR(INDEX($I$6:$I$45,MATCH(LARGE($J$6:$J$45,12),$J$6:$J$45,0)),""))</f>
        <v/>
      </c>
      <c r="D17" s="22" t="str">
        <f t="shared" si="0"/>
        <v/>
      </c>
      <c r="G17" s="30" t="str">
        <f>IFERROR(INDEX('Nhập kết quả'!$D$40:$D$84,MATCH(12,'Nhập kết quả'!$F$40:$F$84,0)),"")</f>
        <v/>
      </c>
      <c r="H17" s="30" t="str">
        <f>IF(G17="","",IFERROR(INDEX('Nhập kết quả'!$C$40:$C$84,MATCH(G17,'Nhập kết quả'!$D$40:$D$84,0)),""))</f>
        <v/>
      </c>
      <c r="I17" s="30" t="str">
        <f>IF(G17="","",SUMIF('Nhập kết quả'!$D$40:$D$84,G17,'Nhập kết quả'!$E$40:$E$84))</f>
        <v/>
      </c>
      <c r="J17" s="25" t="str">
        <f>IF(G17="","",I17*1000-12)</f>
        <v/>
      </c>
    </row>
    <row r="18" spans="1:10" ht="15" customHeight="1" x14ac:dyDescent="0.25">
      <c r="A18" s="22" t="str">
        <f>IFERROR(INDEX($G$6:$G$45,MATCH(LARGE($J$6:$J$45,13),$J$6:$J$45,0)),"")</f>
        <v/>
      </c>
      <c r="B18" s="12" t="str">
        <f>IF(A18="","",IFERROR(INDEX($H$6:$H$45,MATCH(LARGE($J$6:$J$45,13),$J$6:$J$45,0)),""))</f>
        <v/>
      </c>
      <c r="C18" s="22" t="str">
        <f>IF(A18="","",IFERROR(INDEX($I$6:$I$45,MATCH(LARGE($J$6:$J$45,13),$J$6:$J$45,0)),""))</f>
        <v/>
      </c>
      <c r="D18" s="22" t="str">
        <f t="shared" si="0"/>
        <v/>
      </c>
      <c r="G18" s="30" t="str">
        <f>IFERROR(INDEX('Nhập kết quả'!$D$40:$D$84,MATCH(13,'Nhập kết quả'!$F$40:$F$84,0)),"")</f>
        <v/>
      </c>
      <c r="H18" s="30" t="str">
        <f>IF(G18="","",IFERROR(INDEX('Nhập kết quả'!$C$40:$C$84,MATCH(G18,'Nhập kết quả'!$D$40:$D$84,0)),""))</f>
        <v/>
      </c>
      <c r="I18" s="30" t="str">
        <f>IF(G18="","",SUMIF('Nhập kết quả'!$D$40:$D$84,G18,'Nhập kết quả'!$E$40:$E$84))</f>
        <v/>
      </c>
      <c r="J18" s="25" t="str">
        <f>IF(G18="","",I18*1000-13)</f>
        <v/>
      </c>
    </row>
    <row r="19" spans="1:10" ht="15" customHeight="1" x14ac:dyDescent="0.25">
      <c r="A19" s="22" t="str">
        <f>IFERROR(INDEX($G$6:$G$45,MATCH(LARGE($J$6:$J$45,14),$J$6:$J$45,0)),"")</f>
        <v/>
      </c>
      <c r="B19" s="12" t="str">
        <f>IF(A19="","",IFERROR(INDEX($H$6:$H$45,MATCH(LARGE($J$6:$J$45,14),$J$6:$J$45,0)),""))</f>
        <v/>
      </c>
      <c r="C19" s="22" t="str">
        <f>IF(A19="","",IFERROR(INDEX($I$6:$I$45,MATCH(LARGE($J$6:$J$45,14),$J$6:$J$45,0)),""))</f>
        <v/>
      </c>
      <c r="D19" s="22" t="str">
        <f t="shared" si="0"/>
        <v/>
      </c>
      <c r="G19" s="30" t="str">
        <f>IFERROR(INDEX('Nhập kết quả'!$D$40:$D$84,MATCH(14,'Nhập kết quả'!$F$40:$F$84,0)),"")</f>
        <v/>
      </c>
      <c r="H19" s="30" t="str">
        <f>IF(G19="","",IFERROR(INDEX('Nhập kết quả'!$C$40:$C$84,MATCH(G19,'Nhập kết quả'!$D$40:$D$84,0)),""))</f>
        <v/>
      </c>
      <c r="I19" s="30" t="str">
        <f>IF(G19="","",SUMIF('Nhập kết quả'!$D$40:$D$84,G19,'Nhập kết quả'!$E$40:$E$84))</f>
        <v/>
      </c>
      <c r="J19" s="25" t="str">
        <f>IF(G19="","",I19*1000-14)</f>
        <v/>
      </c>
    </row>
    <row r="20" spans="1:10" ht="15" customHeight="1" x14ac:dyDescent="0.25">
      <c r="A20" s="22" t="str">
        <f>IFERROR(INDEX($G$6:$G$45,MATCH(LARGE($J$6:$J$45,15),$J$6:$J$45,0)),"")</f>
        <v/>
      </c>
      <c r="B20" s="12" t="str">
        <f>IF(A20="","",IFERROR(INDEX($H$6:$H$45,MATCH(LARGE($J$6:$J$45,15),$J$6:$J$45,0)),""))</f>
        <v/>
      </c>
      <c r="C20" s="22" t="str">
        <f>IF(A20="","",IFERROR(INDEX($I$6:$I$45,MATCH(LARGE($J$6:$J$45,15),$J$6:$J$45,0)),""))</f>
        <v/>
      </c>
      <c r="D20" s="22" t="str">
        <f t="shared" si="0"/>
        <v/>
      </c>
      <c r="G20" s="30" t="str">
        <f>IFERROR(INDEX('Nhập kết quả'!$D$40:$D$84,MATCH(15,'Nhập kết quả'!$F$40:$F$84,0)),"")</f>
        <v/>
      </c>
      <c r="H20" s="30" t="str">
        <f>IF(G20="","",IFERROR(INDEX('Nhập kết quả'!$C$40:$C$84,MATCH(G20,'Nhập kết quả'!$D$40:$D$84,0)),""))</f>
        <v/>
      </c>
      <c r="I20" s="30" t="str">
        <f>IF(G20="","",SUMIF('Nhập kết quả'!$D$40:$D$84,G20,'Nhập kết quả'!$E$40:$E$84))</f>
        <v/>
      </c>
      <c r="J20" s="25" t="str">
        <f>IF(G20="","",I20*1000-15)</f>
        <v/>
      </c>
    </row>
    <row r="21" spans="1:10" ht="15" customHeight="1" x14ac:dyDescent="0.25">
      <c r="A21" s="22" t="str">
        <f>IFERROR(INDEX($G$6:$G$45,MATCH(LARGE($J$6:$J$45,16),$J$6:$J$45,0)),"")</f>
        <v/>
      </c>
      <c r="B21" s="12" t="str">
        <f>IF(A21="","",IFERROR(INDEX($H$6:$H$45,MATCH(LARGE($J$6:$J$45,16),$J$6:$J$45,0)),""))</f>
        <v/>
      </c>
      <c r="C21" s="22" t="str">
        <f>IF(A21="","",IFERROR(INDEX($I$6:$I$45,MATCH(LARGE($J$6:$J$45,16),$J$6:$J$45,0)),""))</f>
        <v/>
      </c>
      <c r="D21" s="22" t="str">
        <f t="shared" si="0"/>
        <v/>
      </c>
      <c r="G21" s="30" t="str">
        <f>IFERROR(INDEX('Nhập kết quả'!$D$40:$D$84,MATCH(16,'Nhập kết quả'!$F$40:$F$84,0)),"")</f>
        <v/>
      </c>
      <c r="H21" s="30" t="str">
        <f>IF(G21="","",IFERROR(INDEX('Nhập kết quả'!$C$40:$C$84,MATCH(G21,'Nhập kết quả'!$D$40:$D$84,0)),""))</f>
        <v/>
      </c>
      <c r="I21" s="30" t="str">
        <f>IF(G21="","",SUMIF('Nhập kết quả'!$D$40:$D$84,G21,'Nhập kết quả'!$E$40:$E$84))</f>
        <v/>
      </c>
      <c r="J21" s="25" t="str">
        <f>IF(G21="","",I21*1000-16)</f>
        <v/>
      </c>
    </row>
    <row r="22" spans="1:10" ht="15" customHeight="1" x14ac:dyDescent="0.25">
      <c r="A22" s="22" t="str">
        <f>IFERROR(INDEX($G$6:$G$45,MATCH(LARGE($J$6:$J$45,17),$J$6:$J$45,0)),"")</f>
        <v/>
      </c>
      <c r="B22" s="12" t="str">
        <f>IF(A22="","",IFERROR(INDEX($H$6:$H$45,MATCH(LARGE($J$6:$J$45,17),$J$6:$J$45,0)),""))</f>
        <v/>
      </c>
      <c r="C22" s="22" t="str">
        <f>IF(A22="","",IFERROR(INDEX($I$6:$I$45,MATCH(LARGE($J$6:$J$45,17),$J$6:$J$45,0)),""))</f>
        <v/>
      </c>
      <c r="D22" s="22" t="str">
        <f t="shared" si="0"/>
        <v/>
      </c>
      <c r="G22" s="30" t="str">
        <f>IFERROR(INDEX('Nhập kết quả'!$D$40:$D$84,MATCH(17,'Nhập kết quả'!$F$40:$F$84,0)),"")</f>
        <v/>
      </c>
      <c r="H22" s="30" t="str">
        <f>IF(G22="","",IFERROR(INDEX('Nhập kết quả'!$C$40:$C$84,MATCH(G22,'Nhập kết quả'!$D$40:$D$84,0)),""))</f>
        <v/>
      </c>
      <c r="I22" s="30" t="str">
        <f>IF(G22="","",SUMIF('Nhập kết quả'!$D$40:$D$84,G22,'Nhập kết quả'!$E$40:$E$84))</f>
        <v/>
      </c>
      <c r="J22" s="25" t="str">
        <f>IF(G22="","",I22*1000-17)</f>
        <v/>
      </c>
    </row>
    <row r="23" spans="1:10" ht="15" customHeight="1" x14ac:dyDescent="0.25">
      <c r="A23" s="22" t="str">
        <f>IFERROR(INDEX($G$6:$G$45,MATCH(LARGE($J$6:$J$45,18),$J$6:$J$45,0)),"")</f>
        <v/>
      </c>
      <c r="B23" s="12" t="str">
        <f>IF(A23="","",IFERROR(INDEX($H$6:$H$45,MATCH(LARGE($J$6:$J$45,18),$J$6:$J$45,0)),""))</f>
        <v/>
      </c>
      <c r="C23" s="22" t="str">
        <f>IF(A23="","",IFERROR(INDEX($I$6:$I$45,MATCH(LARGE($J$6:$J$45,18),$J$6:$J$45,0)),""))</f>
        <v/>
      </c>
      <c r="D23" s="22" t="str">
        <f t="shared" si="0"/>
        <v/>
      </c>
      <c r="G23" s="30" t="str">
        <f>IFERROR(INDEX('Nhập kết quả'!$D$40:$D$84,MATCH(18,'Nhập kết quả'!$F$40:$F$84,0)),"")</f>
        <v/>
      </c>
      <c r="H23" s="30" t="str">
        <f>IF(G23="","",IFERROR(INDEX('Nhập kết quả'!$C$40:$C$84,MATCH(G23,'Nhập kết quả'!$D$40:$D$84,0)),""))</f>
        <v/>
      </c>
      <c r="I23" s="30" t="str">
        <f>IF(G23="","",SUMIF('Nhập kết quả'!$D$40:$D$84,G23,'Nhập kết quả'!$E$40:$E$84))</f>
        <v/>
      </c>
      <c r="J23" s="25" t="str">
        <f>IF(G23="","",I23*1000-18)</f>
        <v/>
      </c>
    </row>
    <row r="24" spans="1:10" ht="15" customHeight="1" x14ac:dyDescent="0.25">
      <c r="A24" s="22" t="str">
        <f>IFERROR(INDEX($G$6:$G$45,MATCH(LARGE($J$6:$J$45,19),$J$6:$J$45,0)),"")</f>
        <v/>
      </c>
      <c r="B24" s="12" t="str">
        <f>IF(A24="","",IFERROR(INDEX($H$6:$H$45,MATCH(LARGE($J$6:$J$45,19),$J$6:$J$45,0)),""))</f>
        <v/>
      </c>
      <c r="C24" s="22" t="str">
        <f>IF(A24="","",IFERROR(INDEX($I$6:$I$45,MATCH(LARGE($J$6:$J$45,19),$J$6:$J$45,0)),""))</f>
        <v/>
      </c>
      <c r="D24" s="22" t="str">
        <f t="shared" si="0"/>
        <v/>
      </c>
      <c r="G24" s="30" t="str">
        <f>IFERROR(INDEX('Nhập kết quả'!$D$40:$D$84,MATCH(19,'Nhập kết quả'!$F$40:$F$84,0)),"")</f>
        <v/>
      </c>
      <c r="H24" s="30" t="str">
        <f>IF(G24="","",IFERROR(INDEX('Nhập kết quả'!$C$40:$C$84,MATCH(G24,'Nhập kết quả'!$D$40:$D$84,0)),""))</f>
        <v/>
      </c>
      <c r="I24" s="30" t="str">
        <f>IF(G24="","",SUMIF('Nhập kết quả'!$D$40:$D$84,G24,'Nhập kết quả'!$E$40:$E$84))</f>
        <v/>
      </c>
      <c r="J24" s="25" t="str">
        <f>IF(G24="","",I24*1000-19)</f>
        <v/>
      </c>
    </row>
    <row r="25" spans="1:10" ht="15" customHeight="1" x14ac:dyDescent="0.25">
      <c r="A25" s="22" t="str">
        <f>IFERROR(INDEX($G$6:$G$45,MATCH(LARGE($J$6:$J$45,20),$J$6:$J$45,0)),"")</f>
        <v/>
      </c>
      <c r="B25" s="12" t="str">
        <f>IF(A25="","",IFERROR(INDEX($H$6:$H$45,MATCH(LARGE($J$6:$J$45,20),$J$6:$J$45,0)),""))</f>
        <v/>
      </c>
      <c r="C25" s="22" t="str">
        <f>IF(A25="","",IFERROR(INDEX($I$6:$I$45,MATCH(LARGE($J$6:$J$45,20),$J$6:$J$45,0)),""))</f>
        <v/>
      </c>
      <c r="D25" s="22" t="str">
        <f t="shared" si="0"/>
        <v/>
      </c>
      <c r="G25" s="30" t="str">
        <f>IFERROR(INDEX('Nhập kết quả'!$D$40:$D$84,MATCH(20,'Nhập kết quả'!$F$40:$F$84,0)),"")</f>
        <v/>
      </c>
      <c r="H25" s="30" t="str">
        <f>IF(G25="","",IFERROR(INDEX('Nhập kết quả'!$C$40:$C$84,MATCH(G25,'Nhập kết quả'!$D$40:$D$84,0)),""))</f>
        <v/>
      </c>
      <c r="I25" s="30" t="str">
        <f>IF(G25="","",SUMIF('Nhập kết quả'!$D$40:$D$84,G25,'Nhập kết quả'!$E$40:$E$84))</f>
        <v/>
      </c>
      <c r="J25" s="25" t="str">
        <f>IF(G25="","",I25*1000-20)</f>
        <v/>
      </c>
    </row>
    <row r="26" spans="1:10" ht="15" customHeight="1" x14ac:dyDescent="0.25">
      <c r="A26" s="22" t="str">
        <f>IFERROR(INDEX($G$6:$G$45,MATCH(LARGE($J$6:$J$45,21),$J$6:$J$45,0)),"")</f>
        <v/>
      </c>
      <c r="B26" s="12" t="str">
        <f>IF(A26="","",IFERROR(INDEX($H$6:$H$45,MATCH(LARGE($J$6:$J$45,21),$J$6:$J$45,0)),""))</f>
        <v/>
      </c>
      <c r="C26" s="22" t="str">
        <f>IF(A26="","",IFERROR(INDEX($I$6:$I$45,MATCH(LARGE($J$6:$J$45,21),$J$6:$J$45,0)),""))</f>
        <v/>
      </c>
      <c r="D26" s="22" t="str">
        <f t="shared" si="0"/>
        <v/>
      </c>
      <c r="G26" s="30" t="str">
        <f>IFERROR(INDEX('Nhập kết quả'!$D$40:$D$84,MATCH(21,'Nhập kết quả'!$F$40:$F$84,0)),"")</f>
        <v/>
      </c>
      <c r="H26" s="30" t="str">
        <f>IF(G26="","",IFERROR(INDEX('Nhập kết quả'!$C$40:$C$84,MATCH(G26,'Nhập kết quả'!$D$40:$D$84,0)),""))</f>
        <v/>
      </c>
      <c r="I26" s="30" t="str">
        <f>IF(G26="","",SUMIF('Nhập kết quả'!$D$40:$D$84,G26,'Nhập kết quả'!$E$40:$E$84))</f>
        <v/>
      </c>
      <c r="J26" s="25" t="str">
        <f>IF(G26="","",I26*1000-21)</f>
        <v/>
      </c>
    </row>
    <row r="27" spans="1:10" ht="15" customHeight="1" x14ac:dyDescent="0.25">
      <c r="A27" s="22" t="str">
        <f>IFERROR(INDEX($G$6:$G$45,MATCH(LARGE($J$6:$J$45,22),$J$6:$J$45,0)),"")</f>
        <v/>
      </c>
      <c r="B27" s="12" t="str">
        <f>IF(A27="","",IFERROR(INDEX($H$6:$H$45,MATCH(LARGE($J$6:$J$45,22),$J$6:$J$45,0)),""))</f>
        <v/>
      </c>
      <c r="C27" s="22" t="str">
        <f>IF(A27="","",IFERROR(INDEX($I$6:$I$45,MATCH(LARGE($J$6:$J$45,22),$J$6:$J$45,0)),""))</f>
        <v/>
      </c>
      <c r="D27" s="22" t="str">
        <f t="shared" si="0"/>
        <v/>
      </c>
      <c r="G27" s="30" t="str">
        <f>IFERROR(INDEX('Nhập kết quả'!$D$40:$D$84,MATCH(22,'Nhập kết quả'!$F$40:$F$84,0)),"")</f>
        <v/>
      </c>
      <c r="H27" s="30" t="str">
        <f>IF(G27="","",IFERROR(INDEX('Nhập kết quả'!$C$40:$C$84,MATCH(G27,'Nhập kết quả'!$D$40:$D$84,0)),""))</f>
        <v/>
      </c>
      <c r="I27" s="30" t="str">
        <f>IF(G27="","",SUMIF('Nhập kết quả'!$D$40:$D$84,G27,'Nhập kết quả'!$E$40:$E$84))</f>
        <v/>
      </c>
      <c r="J27" s="25" t="str">
        <f>IF(G27="","",I27*1000-22)</f>
        <v/>
      </c>
    </row>
    <row r="28" spans="1:10" ht="15" customHeight="1" x14ac:dyDescent="0.25">
      <c r="A28" s="22" t="str">
        <f>IFERROR(INDEX($G$6:$G$45,MATCH(LARGE($J$6:$J$45,23),$J$6:$J$45,0)),"")</f>
        <v/>
      </c>
      <c r="B28" s="12" t="str">
        <f>IF(A28="","",IFERROR(INDEX($H$6:$H$45,MATCH(LARGE($J$6:$J$45,23),$J$6:$J$45,0)),""))</f>
        <v/>
      </c>
      <c r="C28" s="22" t="str">
        <f>IF(A28="","",IFERROR(INDEX($I$6:$I$45,MATCH(LARGE($J$6:$J$45,23),$J$6:$J$45,0)),""))</f>
        <v/>
      </c>
      <c r="D28" s="22" t="str">
        <f t="shared" si="0"/>
        <v/>
      </c>
      <c r="G28" s="30" t="str">
        <f>IFERROR(INDEX('Nhập kết quả'!$D$40:$D$84,MATCH(23,'Nhập kết quả'!$F$40:$F$84,0)),"")</f>
        <v/>
      </c>
      <c r="H28" s="30" t="str">
        <f>IF(G28="","",IFERROR(INDEX('Nhập kết quả'!$C$40:$C$84,MATCH(G28,'Nhập kết quả'!$D$40:$D$84,0)),""))</f>
        <v/>
      </c>
      <c r="I28" s="30" t="str">
        <f>IF(G28="","",SUMIF('Nhập kết quả'!$D$40:$D$84,G28,'Nhập kết quả'!$E$40:$E$84))</f>
        <v/>
      </c>
      <c r="J28" s="25" t="str">
        <f>IF(G28="","",I28*1000-23)</f>
        <v/>
      </c>
    </row>
    <row r="29" spans="1:10" ht="15" customHeight="1" x14ac:dyDescent="0.25">
      <c r="A29" s="22" t="str">
        <f>IFERROR(INDEX($G$6:$G$45,MATCH(LARGE($J$6:$J$45,24),$J$6:$J$45,0)),"")</f>
        <v/>
      </c>
      <c r="B29" s="12" t="str">
        <f>IF(A29="","",IFERROR(INDEX($H$6:$H$45,MATCH(LARGE($J$6:$J$45,24),$J$6:$J$45,0)),""))</f>
        <v/>
      </c>
      <c r="C29" s="22" t="str">
        <f>IF(A29="","",IFERROR(INDEX($I$6:$I$45,MATCH(LARGE($J$6:$J$45,24),$J$6:$J$45,0)),""))</f>
        <v/>
      </c>
      <c r="D29" s="22" t="str">
        <f t="shared" si="0"/>
        <v/>
      </c>
      <c r="G29" s="30" t="str">
        <f>IFERROR(INDEX('Nhập kết quả'!$D$40:$D$84,MATCH(24,'Nhập kết quả'!$F$40:$F$84,0)),"")</f>
        <v/>
      </c>
      <c r="H29" s="30" t="str">
        <f>IF(G29="","",IFERROR(INDEX('Nhập kết quả'!$C$40:$C$84,MATCH(G29,'Nhập kết quả'!$D$40:$D$84,0)),""))</f>
        <v/>
      </c>
      <c r="I29" s="30" t="str">
        <f>IF(G29="","",SUMIF('Nhập kết quả'!$D$40:$D$84,G29,'Nhập kết quả'!$E$40:$E$84))</f>
        <v/>
      </c>
      <c r="J29" s="25" t="str">
        <f>IF(G29="","",I29*1000-24)</f>
        <v/>
      </c>
    </row>
    <row r="30" spans="1:10" ht="15" customHeight="1" x14ac:dyDescent="0.25">
      <c r="A30" s="22" t="str">
        <f>IFERROR(INDEX($G$6:$G$45,MATCH(LARGE($J$6:$J$45,25),$J$6:$J$45,0)),"")</f>
        <v/>
      </c>
      <c r="B30" s="12" t="str">
        <f>IF(A30="","",IFERROR(INDEX($H$6:$H$45,MATCH(LARGE($J$6:$J$45,25),$J$6:$J$45,0)),""))</f>
        <v/>
      </c>
      <c r="C30" s="22" t="str">
        <f>IF(A30="","",IFERROR(INDEX($I$6:$I$45,MATCH(LARGE($J$6:$J$45,25),$J$6:$J$45,0)),""))</f>
        <v/>
      </c>
      <c r="D30" s="22" t="str">
        <f t="shared" si="0"/>
        <v/>
      </c>
      <c r="G30" s="30" t="str">
        <f>IFERROR(INDEX('Nhập kết quả'!$D$40:$D$84,MATCH(25,'Nhập kết quả'!$F$40:$F$84,0)),"")</f>
        <v/>
      </c>
      <c r="H30" s="30" t="str">
        <f>IF(G30="","",IFERROR(INDEX('Nhập kết quả'!$C$40:$C$84,MATCH(G30,'Nhập kết quả'!$D$40:$D$84,0)),""))</f>
        <v/>
      </c>
      <c r="I30" s="30" t="str">
        <f>IF(G30="","",SUMIF('Nhập kết quả'!$D$40:$D$84,G30,'Nhập kết quả'!$E$40:$E$84))</f>
        <v/>
      </c>
      <c r="J30" s="25" t="str">
        <f>IF(G30="","",I30*1000-25)</f>
        <v/>
      </c>
    </row>
    <row r="31" spans="1:10" ht="15" customHeight="1" x14ac:dyDescent="0.25">
      <c r="A31" s="22" t="str">
        <f>IFERROR(INDEX($G$6:$G$45,MATCH(LARGE($J$6:$J$45,26),$J$6:$J$45,0)),"")</f>
        <v/>
      </c>
      <c r="B31" s="12" t="str">
        <f>IF(A31="","",IFERROR(INDEX($H$6:$H$45,MATCH(LARGE($J$6:$J$45,26),$J$6:$J$45,0)),""))</f>
        <v/>
      </c>
      <c r="C31" s="22" t="str">
        <f>IF(A31="","",IFERROR(INDEX($I$6:$I$45,MATCH(LARGE($J$6:$J$45,26),$J$6:$J$45,0)),""))</f>
        <v/>
      </c>
      <c r="D31" s="22" t="str">
        <f t="shared" si="0"/>
        <v/>
      </c>
      <c r="G31" s="30" t="str">
        <f>IFERROR(INDEX('Nhập kết quả'!$D$40:$D$84,MATCH(26,'Nhập kết quả'!$F$40:$F$84,0)),"")</f>
        <v/>
      </c>
      <c r="H31" s="30" t="str">
        <f>IF(G31="","",IFERROR(INDEX('Nhập kết quả'!$C$40:$C$84,MATCH(G31,'Nhập kết quả'!$D$40:$D$84,0)),""))</f>
        <v/>
      </c>
      <c r="I31" s="30" t="str">
        <f>IF(G31="","",SUMIF('Nhập kết quả'!$D$40:$D$84,G31,'Nhập kết quả'!$E$40:$E$84))</f>
        <v/>
      </c>
      <c r="J31" s="25" t="str">
        <f>IF(G31="","",I31*1000-26)</f>
        <v/>
      </c>
    </row>
    <row r="32" spans="1:10" ht="15" customHeight="1" x14ac:dyDescent="0.25">
      <c r="A32" s="22" t="str">
        <f>IFERROR(INDEX($G$6:$G$45,MATCH(LARGE($J$6:$J$45,27),$J$6:$J$45,0)),"")</f>
        <v/>
      </c>
      <c r="B32" s="12" t="str">
        <f>IF(A32="","",IFERROR(INDEX($H$6:$H$45,MATCH(LARGE($J$6:$J$45,27),$J$6:$J$45,0)),""))</f>
        <v/>
      </c>
      <c r="C32" s="22" t="str">
        <f>IF(A32="","",IFERROR(INDEX($I$6:$I$45,MATCH(LARGE($J$6:$J$45,27),$J$6:$J$45,0)),""))</f>
        <v/>
      </c>
      <c r="D32" s="22" t="str">
        <f t="shared" si="0"/>
        <v/>
      </c>
      <c r="G32" s="30" t="str">
        <f>IFERROR(INDEX('Nhập kết quả'!$D$40:$D$84,MATCH(27,'Nhập kết quả'!$F$40:$F$84,0)),"")</f>
        <v/>
      </c>
      <c r="H32" s="30" t="str">
        <f>IF(G32="","",IFERROR(INDEX('Nhập kết quả'!$C$40:$C$84,MATCH(G32,'Nhập kết quả'!$D$40:$D$84,0)),""))</f>
        <v/>
      </c>
      <c r="I32" s="30" t="str">
        <f>IF(G32="","",SUMIF('Nhập kết quả'!$D$40:$D$84,G32,'Nhập kết quả'!$E$40:$E$84))</f>
        <v/>
      </c>
      <c r="J32" s="25" t="str">
        <f>IF(G32="","",I32*1000-27)</f>
        <v/>
      </c>
    </row>
    <row r="33" spans="1:10" ht="15" customHeight="1" x14ac:dyDescent="0.25">
      <c r="A33" s="22" t="str">
        <f>IFERROR(INDEX($G$6:$G$45,MATCH(LARGE($J$6:$J$45,28),$J$6:$J$45,0)),"")</f>
        <v/>
      </c>
      <c r="B33" s="12" t="str">
        <f>IF(A33="","",IFERROR(INDEX($H$6:$H$45,MATCH(LARGE($J$6:$J$45,28),$J$6:$J$45,0)),""))</f>
        <v/>
      </c>
      <c r="C33" s="22" t="str">
        <f>IF(A33="","",IFERROR(INDEX($I$6:$I$45,MATCH(LARGE($J$6:$J$45,28),$J$6:$J$45,0)),""))</f>
        <v/>
      </c>
      <c r="D33" s="22" t="str">
        <f t="shared" si="0"/>
        <v/>
      </c>
      <c r="G33" s="30" t="str">
        <f>IFERROR(INDEX('Nhập kết quả'!$D$40:$D$84,MATCH(28,'Nhập kết quả'!$F$40:$F$84,0)),"")</f>
        <v/>
      </c>
      <c r="H33" s="30" t="str">
        <f>IF(G33="","",IFERROR(INDEX('Nhập kết quả'!$C$40:$C$84,MATCH(G33,'Nhập kết quả'!$D$40:$D$84,0)),""))</f>
        <v/>
      </c>
      <c r="I33" s="30" t="str">
        <f>IF(G33="","",SUMIF('Nhập kết quả'!$D$40:$D$84,G33,'Nhập kết quả'!$E$40:$E$84))</f>
        <v/>
      </c>
      <c r="J33" s="25" t="str">
        <f>IF(G33="","",I33*1000-28)</f>
        <v/>
      </c>
    </row>
    <row r="34" spans="1:10" ht="15" customHeight="1" x14ac:dyDescent="0.25">
      <c r="A34" s="22" t="str">
        <f>IFERROR(INDEX($G$6:$G$45,MATCH(LARGE($J$6:$J$45,29),$J$6:$J$45,0)),"")</f>
        <v/>
      </c>
      <c r="B34" s="12" t="str">
        <f>IF(A34="","",IFERROR(INDEX($H$6:$H$45,MATCH(LARGE($J$6:$J$45,29),$J$6:$J$45,0)),""))</f>
        <v/>
      </c>
      <c r="C34" s="22" t="str">
        <f>IF(A34="","",IFERROR(INDEX($I$6:$I$45,MATCH(LARGE($J$6:$J$45,29),$J$6:$J$45,0)),""))</f>
        <v/>
      </c>
      <c r="D34" s="22" t="str">
        <f t="shared" si="0"/>
        <v/>
      </c>
      <c r="G34" s="30" t="str">
        <f>IFERROR(INDEX('Nhập kết quả'!$D$40:$D$84,MATCH(29,'Nhập kết quả'!$F$40:$F$84,0)),"")</f>
        <v/>
      </c>
      <c r="H34" s="30" t="str">
        <f>IF(G34="","",IFERROR(INDEX('Nhập kết quả'!$C$40:$C$84,MATCH(G34,'Nhập kết quả'!$D$40:$D$84,0)),""))</f>
        <v/>
      </c>
      <c r="I34" s="30" t="str">
        <f>IF(G34="","",SUMIF('Nhập kết quả'!$D$40:$D$84,G34,'Nhập kết quả'!$E$40:$E$84))</f>
        <v/>
      </c>
      <c r="J34" s="25" t="str">
        <f>IF(G34="","",I34*1000-29)</f>
        <v/>
      </c>
    </row>
    <row r="35" spans="1:10" ht="15" customHeight="1" x14ac:dyDescent="0.25">
      <c r="A35" s="22" t="str">
        <f>IFERROR(INDEX($G$6:$G$45,MATCH(LARGE($J$6:$J$45,30),$J$6:$J$45,0)),"")</f>
        <v/>
      </c>
      <c r="B35" s="12" t="str">
        <f>IF(A35="","",IFERROR(INDEX($H$6:$H$45,MATCH(LARGE($J$6:$J$45,30),$J$6:$J$45,0)),""))</f>
        <v/>
      </c>
      <c r="C35" s="22" t="str">
        <f>IF(A35="","",IFERROR(INDEX($I$6:$I$45,MATCH(LARGE($J$6:$J$45,30),$J$6:$J$45,0)),""))</f>
        <v/>
      </c>
      <c r="D35" s="22" t="str">
        <f t="shared" si="0"/>
        <v/>
      </c>
      <c r="G35" s="30" t="str">
        <f>IFERROR(INDEX('Nhập kết quả'!$D$40:$D$84,MATCH(30,'Nhập kết quả'!$F$40:$F$84,0)),"")</f>
        <v/>
      </c>
      <c r="H35" s="30" t="str">
        <f>IF(G35="","",IFERROR(INDEX('Nhập kết quả'!$C$40:$C$84,MATCH(G35,'Nhập kết quả'!$D$40:$D$84,0)),""))</f>
        <v/>
      </c>
      <c r="I35" s="30" t="str">
        <f>IF(G35="","",SUMIF('Nhập kết quả'!$D$40:$D$84,G35,'Nhập kết quả'!$E$40:$E$84))</f>
        <v/>
      </c>
      <c r="J35" s="25" t="str">
        <f>IF(G35="","",I35*1000-30)</f>
        <v/>
      </c>
    </row>
    <row r="36" spans="1:10" ht="15" customHeight="1" x14ac:dyDescent="0.25">
      <c r="A36" s="22" t="str">
        <f>IFERROR(INDEX($G$6:$G$45,MATCH(LARGE($J$6:$J$45,31),$J$6:$J$45,0)),"")</f>
        <v/>
      </c>
      <c r="B36" s="12" t="str">
        <f>IF(A36="","",IFERROR(INDEX($H$6:$H$45,MATCH(LARGE($J$6:$J$45,31),$J$6:$J$45,0)),""))</f>
        <v/>
      </c>
      <c r="C36" s="22" t="str">
        <f>IF(A36="","",IFERROR(INDEX($I$6:$I$45,MATCH(LARGE($J$6:$J$45,31),$J$6:$J$45,0)),""))</f>
        <v/>
      </c>
      <c r="D36" s="22" t="str">
        <f t="shared" si="0"/>
        <v/>
      </c>
      <c r="G36" s="30" t="str">
        <f>IFERROR(INDEX('Nhập kết quả'!$D$40:$D$84,MATCH(31,'Nhập kết quả'!$F$40:$F$84,0)),"")</f>
        <v/>
      </c>
      <c r="H36" s="30" t="str">
        <f>IF(G36="","",IFERROR(INDEX('Nhập kết quả'!$C$40:$C$84,MATCH(G36,'Nhập kết quả'!$D$40:$D$84,0)),""))</f>
        <v/>
      </c>
      <c r="I36" s="30" t="str">
        <f>IF(G36="","",SUMIF('Nhập kết quả'!$D$40:$D$84,G36,'Nhập kết quả'!$E$40:$E$84))</f>
        <v/>
      </c>
      <c r="J36" s="25" t="str">
        <f>IF(G36="","",I36*1000-31)</f>
        <v/>
      </c>
    </row>
    <row r="37" spans="1:10" ht="15" customHeight="1" x14ac:dyDescent="0.25">
      <c r="A37" s="22" t="str">
        <f>IFERROR(INDEX($G$6:$G$45,MATCH(LARGE($J$6:$J$45,32),$J$6:$J$45,0)),"")</f>
        <v/>
      </c>
      <c r="B37" s="12" t="str">
        <f>IF(A37="","",IFERROR(INDEX($H$6:$H$45,MATCH(LARGE($J$6:$J$45,32),$J$6:$J$45,0)),""))</f>
        <v/>
      </c>
      <c r="C37" s="22" t="str">
        <f>IF(A37="","",IFERROR(INDEX($I$6:$I$45,MATCH(LARGE($J$6:$J$45,32),$J$6:$J$45,0)),""))</f>
        <v/>
      </c>
      <c r="D37" s="22" t="str">
        <f t="shared" si="0"/>
        <v/>
      </c>
      <c r="G37" s="30" t="str">
        <f>IFERROR(INDEX('Nhập kết quả'!$D$40:$D$84,MATCH(32,'Nhập kết quả'!$F$40:$F$84,0)),"")</f>
        <v/>
      </c>
      <c r="H37" s="30" t="str">
        <f>IF(G37="","",IFERROR(INDEX('Nhập kết quả'!$C$40:$C$84,MATCH(G37,'Nhập kết quả'!$D$40:$D$84,0)),""))</f>
        <v/>
      </c>
      <c r="I37" s="30" t="str">
        <f>IF(G37="","",SUMIF('Nhập kết quả'!$D$40:$D$84,G37,'Nhập kết quả'!$E$40:$E$84))</f>
        <v/>
      </c>
      <c r="J37" s="25" t="str">
        <f>IF(G37="","",I37*1000-32)</f>
        <v/>
      </c>
    </row>
    <row r="38" spans="1:10" ht="15" customHeight="1" x14ac:dyDescent="0.25">
      <c r="A38" s="22" t="str">
        <f>IFERROR(INDEX($G$6:$G$45,MATCH(LARGE($J$6:$J$45,33),$J$6:$J$45,0)),"")</f>
        <v/>
      </c>
      <c r="B38" s="12" t="str">
        <f>IF(A38="","",IFERROR(INDEX($H$6:$H$45,MATCH(LARGE($J$6:$J$45,33),$J$6:$J$45,0)),""))</f>
        <v/>
      </c>
      <c r="C38" s="22" t="str">
        <f>IF(A38="","",IFERROR(INDEX($I$6:$I$45,MATCH(LARGE($J$6:$J$45,33),$J$6:$J$45,0)),""))</f>
        <v/>
      </c>
      <c r="D38" s="22" t="str">
        <f t="shared" si="0"/>
        <v/>
      </c>
      <c r="G38" s="30" t="str">
        <f>IFERROR(INDEX('Nhập kết quả'!$D$40:$D$84,MATCH(33,'Nhập kết quả'!$F$40:$F$84,0)),"")</f>
        <v/>
      </c>
      <c r="H38" s="30" t="str">
        <f>IF(G38="","",IFERROR(INDEX('Nhập kết quả'!$C$40:$C$84,MATCH(G38,'Nhập kết quả'!$D$40:$D$84,0)),""))</f>
        <v/>
      </c>
      <c r="I38" s="30" t="str">
        <f>IF(G38="","",SUMIF('Nhập kết quả'!$D$40:$D$84,G38,'Nhập kết quả'!$E$40:$E$84))</f>
        <v/>
      </c>
      <c r="J38" s="25" t="str">
        <f>IF(G38="","",I38*1000-33)</f>
        <v/>
      </c>
    </row>
    <row r="39" spans="1:10" ht="15" customHeight="1" x14ac:dyDescent="0.25">
      <c r="A39" s="22" t="str">
        <f>IFERROR(INDEX($G$6:$G$45,MATCH(LARGE($J$6:$J$45,34),$J$6:$J$45,0)),"")</f>
        <v/>
      </c>
      <c r="B39" s="12" t="str">
        <f>IF(A39="","",IFERROR(INDEX($H$6:$H$45,MATCH(LARGE($J$6:$J$45,34),$J$6:$J$45,0)),""))</f>
        <v/>
      </c>
      <c r="C39" s="22" t="str">
        <f>IF(A39="","",IFERROR(INDEX($I$6:$I$45,MATCH(LARGE($J$6:$J$45,34),$J$6:$J$45,0)),""))</f>
        <v/>
      </c>
      <c r="D39" s="22" t="str">
        <f t="shared" si="0"/>
        <v/>
      </c>
      <c r="G39" s="30" t="str">
        <f>IFERROR(INDEX('Nhập kết quả'!$D$40:$D$84,MATCH(34,'Nhập kết quả'!$F$40:$F$84,0)),"")</f>
        <v/>
      </c>
      <c r="H39" s="30" t="str">
        <f>IF(G39="","",IFERROR(INDEX('Nhập kết quả'!$C$40:$C$84,MATCH(G39,'Nhập kết quả'!$D$40:$D$84,0)),""))</f>
        <v/>
      </c>
      <c r="I39" s="30" t="str">
        <f>IF(G39="","",SUMIF('Nhập kết quả'!$D$40:$D$84,G39,'Nhập kết quả'!$E$40:$E$84))</f>
        <v/>
      </c>
      <c r="J39" s="25" t="str">
        <f>IF(G39="","",I39*1000-34)</f>
        <v/>
      </c>
    </row>
    <row r="40" spans="1:10" ht="15" customHeight="1" x14ac:dyDescent="0.25">
      <c r="A40" s="22" t="str">
        <f>IFERROR(INDEX($G$6:$G$45,MATCH(LARGE($J$6:$J$45,35),$J$6:$J$45,0)),"")</f>
        <v/>
      </c>
      <c r="B40" s="12" t="str">
        <f>IF(A40="","",IFERROR(INDEX($H$6:$H$45,MATCH(LARGE($J$6:$J$45,35),$J$6:$J$45,0)),""))</f>
        <v/>
      </c>
      <c r="C40" s="22" t="str">
        <f>IF(A40="","",IFERROR(INDEX($I$6:$I$45,MATCH(LARGE($J$6:$J$45,35),$J$6:$J$45,0)),""))</f>
        <v/>
      </c>
      <c r="D40" s="22" t="str">
        <f t="shared" si="0"/>
        <v/>
      </c>
      <c r="G40" s="30" t="str">
        <f>IFERROR(INDEX('Nhập kết quả'!$D$40:$D$84,MATCH(35,'Nhập kết quả'!$F$40:$F$84,0)),"")</f>
        <v/>
      </c>
      <c r="H40" s="30" t="str">
        <f>IF(G40="","",IFERROR(INDEX('Nhập kết quả'!$C$40:$C$84,MATCH(G40,'Nhập kết quả'!$D$40:$D$84,0)),""))</f>
        <v/>
      </c>
      <c r="I40" s="30" t="str">
        <f>IF(G40="","",SUMIF('Nhập kết quả'!$D$40:$D$84,G40,'Nhập kết quả'!$E$40:$E$84))</f>
        <v/>
      </c>
      <c r="J40" s="25" t="str">
        <f>IF(G40="","",I40*1000-35)</f>
        <v/>
      </c>
    </row>
    <row r="41" spans="1:10" ht="15" customHeight="1" x14ac:dyDescent="0.25">
      <c r="A41" s="22" t="str">
        <f>IFERROR(INDEX($G$6:$G$45,MATCH(LARGE($J$6:$J$45,36),$J$6:$J$45,0)),"")</f>
        <v/>
      </c>
      <c r="B41" s="12" t="str">
        <f>IF(A41="","",IFERROR(INDEX($H$6:$H$45,MATCH(LARGE($J$6:$J$45,36),$J$6:$J$45,0)),""))</f>
        <v/>
      </c>
      <c r="C41" s="22" t="str">
        <f>IF(A41="","",IFERROR(INDEX($I$6:$I$45,MATCH(LARGE($J$6:$J$45,36),$J$6:$J$45,0)),""))</f>
        <v/>
      </c>
      <c r="D41" s="22" t="str">
        <f t="shared" si="0"/>
        <v/>
      </c>
      <c r="G41" s="30" t="str">
        <f>IFERROR(INDEX('Nhập kết quả'!$D$40:$D$84,MATCH(36,'Nhập kết quả'!$F$40:$F$84,0)),"")</f>
        <v/>
      </c>
      <c r="H41" s="30" t="str">
        <f>IF(G41="","",IFERROR(INDEX('Nhập kết quả'!$C$40:$C$84,MATCH(G41,'Nhập kết quả'!$D$40:$D$84,0)),""))</f>
        <v/>
      </c>
      <c r="I41" s="30" t="str">
        <f>IF(G41="","",SUMIF('Nhập kết quả'!$D$40:$D$84,G41,'Nhập kết quả'!$E$40:$E$84))</f>
        <v/>
      </c>
      <c r="J41" s="25" t="str">
        <f>IF(G41="","",I41*1000-36)</f>
        <v/>
      </c>
    </row>
    <row r="42" spans="1:10" ht="15" customHeight="1" x14ac:dyDescent="0.25">
      <c r="A42" s="22" t="str">
        <f>IFERROR(INDEX($G$6:$G$45,MATCH(LARGE($J$6:$J$45,37),$J$6:$J$45,0)),"")</f>
        <v/>
      </c>
      <c r="B42" s="12" t="str">
        <f>IF(A42="","",IFERROR(INDEX($H$6:$H$45,MATCH(LARGE($J$6:$J$45,37),$J$6:$J$45,0)),""))</f>
        <v/>
      </c>
      <c r="C42" s="22" t="str">
        <f>IF(A42="","",IFERROR(INDEX($I$6:$I$45,MATCH(LARGE($J$6:$J$45,37),$J$6:$J$45,0)),""))</f>
        <v/>
      </c>
      <c r="D42" s="22" t="str">
        <f t="shared" si="0"/>
        <v/>
      </c>
      <c r="G42" s="30" t="str">
        <f>IFERROR(INDEX('Nhập kết quả'!$D$40:$D$84,MATCH(37,'Nhập kết quả'!$F$40:$F$84,0)),"")</f>
        <v/>
      </c>
      <c r="H42" s="30" t="str">
        <f>IF(G42="","",IFERROR(INDEX('Nhập kết quả'!$C$40:$C$84,MATCH(G42,'Nhập kết quả'!$D$40:$D$84,0)),""))</f>
        <v/>
      </c>
      <c r="I42" s="30" t="str">
        <f>IF(G42="","",SUMIF('Nhập kết quả'!$D$40:$D$84,G42,'Nhập kết quả'!$E$40:$E$84))</f>
        <v/>
      </c>
      <c r="J42" s="25" t="str">
        <f>IF(G42="","",I42*1000-37)</f>
        <v/>
      </c>
    </row>
    <row r="43" spans="1:10" ht="15" customHeight="1" x14ac:dyDescent="0.25">
      <c r="A43" s="22" t="str">
        <f>IFERROR(INDEX($G$6:$G$45,MATCH(LARGE($J$6:$J$45,38),$J$6:$J$45,0)),"")</f>
        <v/>
      </c>
      <c r="B43" s="12" t="str">
        <f>IF(A43="","",IFERROR(INDEX($H$6:$H$45,MATCH(LARGE($J$6:$J$45,38),$J$6:$J$45,0)),""))</f>
        <v/>
      </c>
      <c r="C43" s="22" t="str">
        <f>IF(A43="","",IFERROR(INDEX($I$6:$I$45,MATCH(LARGE($J$6:$J$45,38),$J$6:$J$45,0)),""))</f>
        <v/>
      </c>
      <c r="D43" s="22" t="str">
        <f t="shared" si="0"/>
        <v/>
      </c>
      <c r="G43" s="30" t="str">
        <f>IFERROR(INDEX('Nhập kết quả'!$D$40:$D$84,MATCH(38,'Nhập kết quả'!$F$40:$F$84,0)),"")</f>
        <v/>
      </c>
      <c r="H43" s="30" t="str">
        <f>IF(G43="","",IFERROR(INDEX('Nhập kết quả'!$C$40:$C$84,MATCH(G43,'Nhập kết quả'!$D$40:$D$84,0)),""))</f>
        <v/>
      </c>
      <c r="I43" s="30" t="str">
        <f>IF(G43="","",SUMIF('Nhập kết quả'!$D$40:$D$84,G43,'Nhập kết quả'!$E$40:$E$84))</f>
        <v/>
      </c>
      <c r="J43" s="25" t="str">
        <f>IF(G43="","",I43*1000-38)</f>
        <v/>
      </c>
    </row>
    <row r="44" spans="1:10" ht="15" customHeight="1" x14ac:dyDescent="0.25">
      <c r="A44" s="22" t="str">
        <f>IFERROR(INDEX($G$6:$G$45,MATCH(LARGE($J$6:$J$45,39),$J$6:$J$45,0)),"")</f>
        <v/>
      </c>
      <c r="B44" s="12" t="str">
        <f>IF(A44="","",IFERROR(INDEX($H$6:$H$45,MATCH(LARGE($J$6:$J$45,39),$J$6:$J$45,0)),""))</f>
        <v/>
      </c>
      <c r="C44" s="22" t="str">
        <f>IF(A44="","",IFERROR(INDEX($I$6:$I$45,MATCH(LARGE($J$6:$J$45,39),$J$6:$J$45,0)),""))</f>
        <v/>
      </c>
      <c r="D44" s="22" t="str">
        <f t="shared" si="0"/>
        <v/>
      </c>
      <c r="G44" s="30" t="str">
        <f>IFERROR(INDEX('Nhập kết quả'!$D$40:$D$84,MATCH(39,'Nhập kết quả'!$F$40:$F$84,0)),"")</f>
        <v/>
      </c>
      <c r="H44" s="30" t="str">
        <f>IF(G44="","",IFERROR(INDEX('Nhập kết quả'!$C$40:$C$84,MATCH(G44,'Nhập kết quả'!$D$40:$D$84,0)),""))</f>
        <v/>
      </c>
      <c r="I44" s="30" t="str">
        <f>IF(G44="","",SUMIF('Nhập kết quả'!$D$40:$D$84,G44,'Nhập kết quả'!$E$40:$E$84))</f>
        <v/>
      </c>
      <c r="J44" s="25" t="str">
        <f>IF(G44="","",I44*1000-39)</f>
        <v/>
      </c>
    </row>
    <row r="45" spans="1:10" ht="15" customHeight="1" x14ac:dyDescent="0.25">
      <c r="A45" s="22" t="str">
        <f>IFERROR(INDEX($G$6:$G$45,MATCH(LARGE($J$6:$J$45,40),$J$6:$J$45,0)),"")</f>
        <v/>
      </c>
      <c r="B45" s="12" t="str">
        <f>IF(A45="","",IFERROR(INDEX($H$6:$H$45,MATCH(LARGE($J$6:$J$45,40),$J$6:$J$45,0)),""))</f>
        <v/>
      </c>
      <c r="C45" s="22" t="str">
        <f>IF(A45="","",IFERROR(INDEX($I$6:$I$45,MATCH(LARGE($J$6:$J$45,40),$J$6:$J$45,0)),""))</f>
        <v/>
      </c>
      <c r="D45" s="22" t="str">
        <f t="shared" si="0"/>
        <v/>
      </c>
      <c r="G45" s="30" t="str">
        <f>IFERROR(INDEX('Nhập kết quả'!$D$40:$D$84,MATCH(40,'Nhập kết quả'!$F$40:$F$84,0)),"")</f>
        <v/>
      </c>
      <c r="H45" s="30" t="str">
        <f>IF(G45="","",IFERROR(INDEX('Nhập kết quả'!$C$40:$C$84,MATCH(G45,'Nhập kết quả'!$D$40:$D$84,0)),""))</f>
        <v/>
      </c>
      <c r="I45" s="30" t="str">
        <f>IF(G45="","",SUMIF('Nhập kết quả'!$D$40:$D$84,G45,'Nhập kết quả'!$E$40:$E$84))</f>
        <v/>
      </c>
      <c r="J45" s="25" t="str">
        <f>IF(G45="","",I45*1000-40)</f>
        <v/>
      </c>
    </row>
    <row r="47" spans="1:10" ht="15" customHeight="1" x14ac:dyDescent="0.25">
      <c r="A47" s="26" t="s">
        <v>380</v>
      </c>
      <c r="B47" s="26" t="str">
        <f>IFERROR(INDEX($A$6:$A$45,MATCH(1,$D$6:$D$45,0)),"")</f>
        <v/>
      </c>
      <c r="C47" s="26" t="str">
        <f>IFERROR(INDEX($B$6:$B$45,MATCH(1,$D$6:$D$45,0)),"")</f>
        <v/>
      </c>
    </row>
  </sheetData>
  <mergeCells count="3">
    <mergeCell ref="A1:D1"/>
    <mergeCell ref="A2:D2"/>
    <mergeCell ref="A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6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7" customWidth="1"/>
    <col min="2" max="2" width="12" customWidth="1"/>
    <col min="3" max="4" width="13" customWidth="1"/>
    <col min="5" max="5" width="12" customWidth="1"/>
    <col min="6" max="6" width="15" customWidth="1"/>
    <col min="7" max="7" width="22" customWidth="1"/>
  </cols>
  <sheetData>
    <row r="1" spans="1:7" ht="21.75" customHeight="1" x14ac:dyDescent="0.35">
      <c r="A1" s="1" t="s">
        <v>381</v>
      </c>
      <c r="B1" s="1"/>
      <c r="C1" s="1"/>
      <c r="D1" s="1"/>
      <c r="E1" s="1"/>
      <c r="F1" s="1"/>
      <c r="G1" s="1"/>
    </row>
    <row r="2" spans="1:7" ht="15" customHeight="1" x14ac:dyDescent="0.25">
      <c r="A2" s="9" t="s">
        <v>382</v>
      </c>
      <c r="B2" s="9"/>
      <c r="C2" s="9"/>
      <c r="D2" s="9"/>
      <c r="E2" s="9"/>
      <c r="F2" s="9"/>
      <c r="G2" s="9"/>
    </row>
    <row r="4" spans="1:7" ht="27.75" customHeight="1" x14ac:dyDescent="0.25">
      <c r="A4" s="11" t="s">
        <v>340</v>
      </c>
      <c r="B4" s="11" t="s">
        <v>163</v>
      </c>
      <c r="C4" s="11" t="s">
        <v>383</v>
      </c>
      <c r="D4" s="11" t="s">
        <v>384</v>
      </c>
      <c r="E4" s="11" t="s">
        <v>385</v>
      </c>
      <c r="F4" s="11" t="s">
        <v>386</v>
      </c>
      <c r="G4" s="11" t="s">
        <v>387</v>
      </c>
    </row>
    <row r="5" spans="1:7" ht="15" customHeight="1" x14ac:dyDescent="0.25">
      <c r="A5" s="22">
        <f t="shared" ref="A5:A16" si="0">RANK(F5,$F$5:$F$16)</f>
        <v>1</v>
      </c>
      <c r="B5" s="21" t="str">
        <f>'Lịch thi đấu'!B6</f>
        <v>Đội 10</v>
      </c>
      <c r="C5" s="17">
        <f>SUMIFS('Tổng kết'!$H$6:$H$29,'Tổng kết'!$A$6:$A$29,"Bóng né",'Tổng kết'!$C$6:$C$29,B5)+IF(COUNTIF('Nhập kết quả'!$I$29:$I$30,B5)&gt;0,100,0)+IF(COUNTIF('Nhập kết quả'!$J$29:$J$30,B5)&gt;0,50,0)+IF(COUNTIF('Nhập kết quả'!$I$33,B5)&gt;0,200,0)+IF(COUNTIF('Nhập kết quả'!$J$33,B5)&gt;0,100,0)</f>
        <v>0</v>
      </c>
      <c r="D5" s="17">
        <f>SUMIFS('Tổng kết'!$H$6:$H$29,'Tổng kết'!$A$6:$A$29,"Kéo co",'Tổng kết'!$C$6:$C$29,B5)+IF(COUNTIF('Nhập kết quả'!$I$31:$I$32,B5)&gt;0,100,0)+IF(COUNTIF('Nhập kết quả'!$J$31:$J$32,B5)&gt;0,50,0)+IF(COUNTIF('Nhập kết quả'!$I$34,B5)&gt;0,200,0)+IF(COUNTIF('Nhập kết quả'!$J$34,B5)&gt;0,100,0)</f>
        <v>0</v>
      </c>
      <c r="E5" s="17">
        <f>(IF(COUNTIF('VĐTT - Nhập KQ'!$E$5:$E$10,B5)&gt;0,100,IF(COUNTIF('VĐTT - Nhập KQ'!$F$5:$F$10,B5)&gt;0,50,0)))+SUMIF('VĐTT - Last of us'!$B$7:$B$24,B5,'VĐTT - Last of us'!$F$7:$F$24)</f>
        <v>0</v>
      </c>
      <c r="F5" s="22">
        <f t="shared" ref="F5:F16" si="1">C5+D5+E5</f>
        <v>0</v>
      </c>
      <c r="G5" s="22" t="str">
        <f t="shared" ref="G5:G16" si="2">IF(A5=1,"Nhất Edulympic (10.000.000đ)",IF(A5=2,"Nhì (5.000.000đ)",IF(A5=3,"Ba (3.000.000đ)","")))</f>
        <v>Nhất Edulympic (10.000.000đ)</v>
      </c>
    </row>
    <row r="6" spans="1:7" ht="15" customHeight="1" x14ac:dyDescent="0.25">
      <c r="A6" s="22">
        <f t="shared" si="0"/>
        <v>1</v>
      </c>
      <c r="B6" s="21" t="str">
        <f>'Lịch thi đấu'!C6</f>
        <v>Đội 4</v>
      </c>
      <c r="C6" s="17">
        <f>SUMIFS('Tổng kết'!$H$6:$H$29,'Tổng kết'!$A$6:$A$29,"Bóng né",'Tổng kết'!$C$6:$C$29,B6)+IF(COUNTIF('Nhập kết quả'!$I$29:$I$30,B6)&gt;0,100,0)+IF(COUNTIF('Nhập kết quả'!$J$29:$J$30,B6)&gt;0,50,0)+IF(COUNTIF('Nhập kết quả'!$I$33,B6)&gt;0,200,0)+IF(COUNTIF('Nhập kết quả'!$J$33,B6)&gt;0,100,0)</f>
        <v>0</v>
      </c>
      <c r="D6" s="17">
        <f>SUMIFS('Tổng kết'!$H$6:$H$29,'Tổng kết'!$A$6:$A$29,"Kéo co",'Tổng kết'!$C$6:$C$29,B6)+IF(COUNTIF('Nhập kết quả'!$I$31:$I$32,B6)&gt;0,100,0)+IF(COUNTIF('Nhập kết quả'!$J$31:$J$32,B6)&gt;0,50,0)+IF(COUNTIF('Nhập kết quả'!$I$34,B6)&gt;0,200,0)+IF(COUNTIF('Nhập kết quả'!$J$34,B6)&gt;0,100,0)</f>
        <v>0</v>
      </c>
      <c r="E6" s="17">
        <f>(IF(COUNTIF('VĐTT - Nhập KQ'!$E$5:$E$10,B6)&gt;0,100,IF(COUNTIF('VĐTT - Nhập KQ'!$F$5:$F$10,B6)&gt;0,50,0)))+SUMIF('VĐTT - Last of us'!$B$7:$B$24,B6,'VĐTT - Last of us'!$F$7:$F$24)</f>
        <v>0</v>
      </c>
      <c r="F6" s="22">
        <f t="shared" si="1"/>
        <v>0</v>
      </c>
      <c r="G6" s="22" t="str">
        <f t="shared" si="2"/>
        <v>Nhất Edulympic (10.000.000đ)</v>
      </c>
    </row>
    <row r="7" spans="1:7" ht="15" customHeight="1" x14ac:dyDescent="0.25">
      <c r="A7" s="22">
        <f t="shared" si="0"/>
        <v>1</v>
      </c>
      <c r="B7" s="21" t="str">
        <f>'Lịch thi đấu'!D6</f>
        <v>Đội 5</v>
      </c>
      <c r="C7" s="17">
        <f>SUMIFS('Tổng kết'!$H$6:$H$29,'Tổng kết'!$A$6:$A$29,"Bóng né",'Tổng kết'!$C$6:$C$29,B7)+IF(COUNTIF('Nhập kết quả'!$I$29:$I$30,B7)&gt;0,100,0)+IF(COUNTIF('Nhập kết quả'!$J$29:$J$30,B7)&gt;0,50,0)+IF(COUNTIF('Nhập kết quả'!$I$33,B7)&gt;0,200,0)+IF(COUNTIF('Nhập kết quả'!$J$33,B7)&gt;0,100,0)</f>
        <v>0</v>
      </c>
      <c r="D7" s="17">
        <f>SUMIFS('Tổng kết'!$H$6:$H$29,'Tổng kết'!$A$6:$A$29,"Kéo co",'Tổng kết'!$C$6:$C$29,B7)+IF(COUNTIF('Nhập kết quả'!$I$31:$I$32,B7)&gt;0,100,0)+IF(COUNTIF('Nhập kết quả'!$J$31:$J$32,B7)&gt;0,50,0)+IF(COUNTIF('Nhập kết quả'!$I$34,B7)&gt;0,200,0)+IF(COUNTIF('Nhập kết quả'!$J$34,B7)&gt;0,100,0)</f>
        <v>0</v>
      </c>
      <c r="E7" s="17">
        <f>(IF(COUNTIF('VĐTT - Nhập KQ'!$E$5:$E$10,B7)&gt;0,100,IF(COUNTIF('VĐTT - Nhập KQ'!$F$5:$F$10,B7)&gt;0,50,0)))+SUMIF('VĐTT - Last of us'!$B$7:$B$24,B7,'VĐTT - Last of us'!$F$7:$F$24)</f>
        <v>0</v>
      </c>
      <c r="F7" s="22">
        <f t="shared" si="1"/>
        <v>0</v>
      </c>
      <c r="G7" s="22" t="str">
        <f t="shared" si="2"/>
        <v>Nhất Edulympic (10.000.000đ)</v>
      </c>
    </row>
    <row r="8" spans="1:7" ht="15" customHeight="1" x14ac:dyDescent="0.25">
      <c r="A8" s="22">
        <f t="shared" si="0"/>
        <v>1</v>
      </c>
      <c r="B8" s="21" t="str">
        <f>'Lịch thi đấu'!B7</f>
        <v>Đội 12</v>
      </c>
      <c r="C8" s="17">
        <f>SUMIFS('Tổng kết'!$H$6:$H$29,'Tổng kết'!$A$6:$A$29,"Bóng né",'Tổng kết'!$C$6:$C$29,B8)+IF(COUNTIF('Nhập kết quả'!$I$29:$I$30,B8)&gt;0,100,0)+IF(COUNTIF('Nhập kết quả'!$J$29:$J$30,B8)&gt;0,50,0)+IF(COUNTIF('Nhập kết quả'!$I$33,B8)&gt;0,200,0)+IF(COUNTIF('Nhập kết quả'!$J$33,B8)&gt;0,100,0)</f>
        <v>0</v>
      </c>
      <c r="D8" s="17">
        <f>SUMIFS('Tổng kết'!$H$6:$H$29,'Tổng kết'!$A$6:$A$29,"Kéo co",'Tổng kết'!$C$6:$C$29,B8)+IF(COUNTIF('Nhập kết quả'!$I$31:$I$32,B8)&gt;0,100,0)+IF(COUNTIF('Nhập kết quả'!$J$31:$J$32,B8)&gt;0,50,0)+IF(COUNTIF('Nhập kết quả'!$I$34,B8)&gt;0,200,0)+IF(COUNTIF('Nhập kết quả'!$J$34,B8)&gt;0,100,0)</f>
        <v>0</v>
      </c>
      <c r="E8" s="17">
        <f>(IF(COUNTIF('VĐTT - Nhập KQ'!$E$5:$E$10,B8)&gt;0,100,IF(COUNTIF('VĐTT - Nhập KQ'!$F$5:$F$10,B8)&gt;0,50,0)))+SUMIF('VĐTT - Last of us'!$B$7:$B$24,B8,'VĐTT - Last of us'!$F$7:$F$24)</f>
        <v>0</v>
      </c>
      <c r="F8" s="22">
        <f t="shared" si="1"/>
        <v>0</v>
      </c>
      <c r="G8" s="22" t="str">
        <f t="shared" si="2"/>
        <v>Nhất Edulympic (10.000.000đ)</v>
      </c>
    </row>
    <row r="9" spans="1:7" ht="15" customHeight="1" x14ac:dyDescent="0.25">
      <c r="A9" s="22">
        <f t="shared" si="0"/>
        <v>1</v>
      </c>
      <c r="B9" s="21" t="str">
        <f>'Lịch thi đấu'!C7</f>
        <v>Đội 1</v>
      </c>
      <c r="C9" s="17">
        <f>SUMIFS('Tổng kết'!$H$6:$H$29,'Tổng kết'!$A$6:$A$29,"Bóng né",'Tổng kết'!$C$6:$C$29,B9)+IF(COUNTIF('Nhập kết quả'!$I$29:$I$30,B9)&gt;0,100,0)+IF(COUNTIF('Nhập kết quả'!$J$29:$J$30,B9)&gt;0,50,0)+IF(COUNTIF('Nhập kết quả'!$I$33,B9)&gt;0,200,0)+IF(COUNTIF('Nhập kết quả'!$J$33,B9)&gt;0,100,0)</f>
        <v>0</v>
      </c>
      <c r="D9" s="17">
        <f>SUMIFS('Tổng kết'!$H$6:$H$29,'Tổng kết'!$A$6:$A$29,"Kéo co",'Tổng kết'!$C$6:$C$29,B9)+IF(COUNTIF('Nhập kết quả'!$I$31:$I$32,B9)&gt;0,100,0)+IF(COUNTIF('Nhập kết quả'!$J$31:$J$32,B9)&gt;0,50,0)+IF(COUNTIF('Nhập kết quả'!$I$34,B9)&gt;0,200,0)+IF(COUNTIF('Nhập kết quả'!$J$34,B9)&gt;0,100,0)</f>
        <v>0</v>
      </c>
      <c r="E9" s="17">
        <f>(IF(COUNTIF('VĐTT - Nhập KQ'!$E$5:$E$10,B9)&gt;0,100,IF(COUNTIF('VĐTT - Nhập KQ'!$F$5:$F$10,B9)&gt;0,50,0)))+SUMIF('VĐTT - Last of us'!$B$7:$B$24,B9,'VĐTT - Last of us'!$F$7:$F$24)</f>
        <v>0</v>
      </c>
      <c r="F9" s="22">
        <f t="shared" si="1"/>
        <v>0</v>
      </c>
      <c r="G9" s="22" t="str">
        <f t="shared" si="2"/>
        <v>Nhất Edulympic (10.000.000đ)</v>
      </c>
    </row>
    <row r="10" spans="1:7" ht="15" customHeight="1" x14ac:dyDescent="0.25">
      <c r="A10" s="22">
        <f t="shared" si="0"/>
        <v>1</v>
      </c>
      <c r="B10" s="21" t="str">
        <f>'Lịch thi đấu'!D7</f>
        <v>Đội 2</v>
      </c>
      <c r="C10" s="17">
        <f>SUMIFS('Tổng kết'!$H$6:$H$29,'Tổng kết'!$A$6:$A$29,"Bóng né",'Tổng kết'!$C$6:$C$29,B10)+IF(COUNTIF('Nhập kết quả'!$I$29:$I$30,B10)&gt;0,100,0)+IF(COUNTIF('Nhập kết quả'!$J$29:$J$30,B10)&gt;0,50,0)+IF(COUNTIF('Nhập kết quả'!$I$33,B10)&gt;0,200,0)+IF(COUNTIF('Nhập kết quả'!$J$33,B10)&gt;0,100,0)</f>
        <v>0</v>
      </c>
      <c r="D10" s="17">
        <f>SUMIFS('Tổng kết'!$H$6:$H$29,'Tổng kết'!$A$6:$A$29,"Kéo co",'Tổng kết'!$C$6:$C$29,B10)+IF(COUNTIF('Nhập kết quả'!$I$31:$I$32,B10)&gt;0,100,0)+IF(COUNTIF('Nhập kết quả'!$J$31:$J$32,B10)&gt;0,50,0)+IF(COUNTIF('Nhập kết quả'!$I$34,B10)&gt;0,200,0)+IF(COUNTIF('Nhập kết quả'!$J$34,B10)&gt;0,100,0)</f>
        <v>0</v>
      </c>
      <c r="E10" s="17">
        <f>(IF(COUNTIF('VĐTT - Nhập KQ'!$E$5:$E$10,B10)&gt;0,100,IF(COUNTIF('VĐTT - Nhập KQ'!$F$5:$F$10,B10)&gt;0,50,0)))+SUMIF('VĐTT - Last of us'!$B$7:$B$24,B10,'VĐTT - Last of us'!$F$7:$F$24)</f>
        <v>0</v>
      </c>
      <c r="F10" s="22">
        <f t="shared" si="1"/>
        <v>0</v>
      </c>
      <c r="G10" s="22" t="str">
        <f t="shared" si="2"/>
        <v>Nhất Edulympic (10.000.000đ)</v>
      </c>
    </row>
    <row r="11" spans="1:7" ht="15" customHeight="1" x14ac:dyDescent="0.25">
      <c r="A11" s="22">
        <f t="shared" si="0"/>
        <v>1</v>
      </c>
      <c r="B11" s="21" t="str">
        <f>'Lịch thi đấu'!B8</f>
        <v>Đội 9</v>
      </c>
      <c r="C11" s="17">
        <f>SUMIFS('Tổng kết'!$H$6:$H$29,'Tổng kết'!$A$6:$A$29,"Bóng né",'Tổng kết'!$C$6:$C$29,B11)+IF(COUNTIF('Nhập kết quả'!$I$29:$I$30,B11)&gt;0,100,0)+IF(COUNTIF('Nhập kết quả'!$J$29:$J$30,B11)&gt;0,50,0)+IF(COUNTIF('Nhập kết quả'!$I$33,B11)&gt;0,200,0)+IF(COUNTIF('Nhập kết quả'!$J$33,B11)&gt;0,100,0)</f>
        <v>0</v>
      </c>
      <c r="D11" s="17">
        <f>SUMIFS('Tổng kết'!$H$6:$H$29,'Tổng kết'!$A$6:$A$29,"Kéo co",'Tổng kết'!$C$6:$C$29,B11)+IF(COUNTIF('Nhập kết quả'!$I$31:$I$32,B11)&gt;0,100,0)+IF(COUNTIF('Nhập kết quả'!$J$31:$J$32,B11)&gt;0,50,0)+IF(COUNTIF('Nhập kết quả'!$I$34,B11)&gt;0,200,0)+IF(COUNTIF('Nhập kết quả'!$J$34,B11)&gt;0,100,0)</f>
        <v>0</v>
      </c>
      <c r="E11" s="17">
        <f>(IF(COUNTIF('VĐTT - Nhập KQ'!$E$5:$E$10,B11)&gt;0,100,IF(COUNTIF('VĐTT - Nhập KQ'!$F$5:$F$10,B11)&gt;0,50,0)))+SUMIF('VĐTT - Last of us'!$B$7:$B$24,B11,'VĐTT - Last of us'!$F$7:$F$24)</f>
        <v>0</v>
      </c>
      <c r="F11" s="22">
        <f t="shared" si="1"/>
        <v>0</v>
      </c>
      <c r="G11" s="22" t="str">
        <f t="shared" si="2"/>
        <v>Nhất Edulympic (10.000.000đ)</v>
      </c>
    </row>
    <row r="12" spans="1:7" ht="15" customHeight="1" x14ac:dyDescent="0.25">
      <c r="A12" s="22">
        <f t="shared" si="0"/>
        <v>1</v>
      </c>
      <c r="B12" s="21" t="str">
        <f>'Lịch thi đấu'!C8</f>
        <v>Đội 3</v>
      </c>
      <c r="C12" s="17">
        <f>SUMIFS('Tổng kết'!$H$6:$H$29,'Tổng kết'!$A$6:$A$29,"Bóng né",'Tổng kết'!$C$6:$C$29,B12)+IF(COUNTIF('Nhập kết quả'!$I$29:$I$30,B12)&gt;0,100,0)+IF(COUNTIF('Nhập kết quả'!$J$29:$J$30,B12)&gt;0,50,0)+IF(COUNTIF('Nhập kết quả'!$I$33,B12)&gt;0,200,0)+IF(COUNTIF('Nhập kết quả'!$J$33,B12)&gt;0,100,0)</f>
        <v>0</v>
      </c>
      <c r="D12" s="17">
        <f>SUMIFS('Tổng kết'!$H$6:$H$29,'Tổng kết'!$A$6:$A$29,"Kéo co",'Tổng kết'!$C$6:$C$29,B12)+IF(COUNTIF('Nhập kết quả'!$I$31:$I$32,B12)&gt;0,100,0)+IF(COUNTIF('Nhập kết quả'!$J$31:$J$32,B12)&gt;0,50,0)+IF(COUNTIF('Nhập kết quả'!$I$34,B12)&gt;0,200,0)+IF(COUNTIF('Nhập kết quả'!$J$34,B12)&gt;0,100,0)</f>
        <v>0</v>
      </c>
      <c r="E12" s="17">
        <f>(IF(COUNTIF('VĐTT - Nhập KQ'!$E$5:$E$10,B12)&gt;0,100,IF(COUNTIF('VĐTT - Nhập KQ'!$F$5:$F$10,B12)&gt;0,50,0)))+SUMIF('VĐTT - Last of us'!$B$7:$B$24,B12,'VĐTT - Last of us'!$F$7:$F$24)</f>
        <v>0</v>
      </c>
      <c r="F12" s="22">
        <f t="shared" si="1"/>
        <v>0</v>
      </c>
      <c r="G12" s="22" t="str">
        <f t="shared" si="2"/>
        <v>Nhất Edulympic (10.000.000đ)</v>
      </c>
    </row>
    <row r="13" spans="1:7" ht="15" customHeight="1" x14ac:dyDescent="0.25">
      <c r="A13" s="22">
        <f t="shared" si="0"/>
        <v>1</v>
      </c>
      <c r="B13" s="21" t="str">
        <f>'Lịch thi đấu'!D8</f>
        <v>Đội 8</v>
      </c>
      <c r="C13" s="17">
        <f>SUMIFS('Tổng kết'!$H$6:$H$29,'Tổng kết'!$A$6:$A$29,"Bóng né",'Tổng kết'!$C$6:$C$29,B13)+IF(COUNTIF('Nhập kết quả'!$I$29:$I$30,B13)&gt;0,100,0)+IF(COUNTIF('Nhập kết quả'!$J$29:$J$30,B13)&gt;0,50,0)+IF(COUNTIF('Nhập kết quả'!$I$33,B13)&gt;0,200,0)+IF(COUNTIF('Nhập kết quả'!$J$33,B13)&gt;0,100,0)</f>
        <v>0</v>
      </c>
      <c r="D13" s="17">
        <f>SUMIFS('Tổng kết'!$H$6:$H$29,'Tổng kết'!$A$6:$A$29,"Kéo co",'Tổng kết'!$C$6:$C$29,B13)+IF(COUNTIF('Nhập kết quả'!$I$31:$I$32,B13)&gt;0,100,0)+IF(COUNTIF('Nhập kết quả'!$J$31:$J$32,B13)&gt;0,50,0)+IF(COUNTIF('Nhập kết quả'!$I$34,B13)&gt;0,200,0)+IF(COUNTIF('Nhập kết quả'!$J$34,B13)&gt;0,100,0)</f>
        <v>0</v>
      </c>
      <c r="E13" s="17">
        <f>(IF(COUNTIF('VĐTT - Nhập KQ'!$E$5:$E$10,B13)&gt;0,100,IF(COUNTIF('VĐTT - Nhập KQ'!$F$5:$F$10,B13)&gt;0,50,0)))+SUMIF('VĐTT - Last of us'!$B$7:$B$24,B13,'VĐTT - Last of us'!$F$7:$F$24)</f>
        <v>0</v>
      </c>
      <c r="F13" s="22">
        <f t="shared" si="1"/>
        <v>0</v>
      </c>
      <c r="G13" s="22" t="str">
        <f t="shared" si="2"/>
        <v>Nhất Edulympic (10.000.000đ)</v>
      </c>
    </row>
    <row r="14" spans="1:7" ht="15" customHeight="1" x14ac:dyDescent="0.25">
      <c r="A14" s="22">
        <f t="shared" si="0"/>
        <v>1</v>
      </c>
      <c r="B14" s="21" t="str">
        <f>'Lịch thi đấu'!B9</f>
        <v>Đội 6</v>
      </c>
      <c r="C14" s="17">
        <f>SUMIFS('Tổng kết'!$H$6:$H$29,'Tổng kết'!$A$6:$A$29,"Bóng né",'Tổng kết'!$C$6:$C$29,B14)+IF(COUNTIF('Nhập kết quả'!$I$29:$I$30,B14)&gt;0,100,0)+IF(COUNTIF('Nhập kết quả'!$J$29:$J$30,B14)&gt;0,50,0)+IF(COUNTIF('Nhập kết quả'!$I$33,B14)&gt;0,200,0)+IF(COUNTIF('Nhập kết quả'!$J$33,B14)&gt;0,100,0)</f>
        <v>0</v>
      </c>
      <c r="D14" s="17">
        <f>SUMIFS('Tổng kết'!$H$6:$H$29,'Tổng kết'!$A$6:$A$29,"Kéo co",'Tổng kết'!$C$6:$C$29,B14)+IF(COUNTIF('Nhập kết quả'!$I$31:$I$32,B14)&gt;0,100,0)+IF(COUNTIF('Nhập kết quả'!$J$31:$J$32,B14)&gt;0,50,0)+IF(COUNTIF('Nhập kết quả'!$I$34,B14)&gt;0,200,0)+IF(COUNTIF('Nhập kết quả'!$J$34,B14)&gt;0,100,0)</f>
        <v>0</v>
      </c>
      <c r="E14" s="17">
        <f>(IF(COUNTIF('VĐTT - Nhập KQ'!$E$5:$E$10,B14)&gt;0,100,IF(COUNTIF('VĐTT - Nhập KQ'!$F$5:$F$10,B14)&gt;0,50,0)))+SUMIF('VĐTT - Last of us'!$B$7:$B$24,B14,'VĐTT - Last of us'!$F$7:$F$24)</f>
        <v>0</v>
      </c>
      <c r="F14" s="22">
        <f t="shared" si="1"/>
        <v>0</v>
      </c>
      <c r="G14" s="22" t="str">
        <f t="shared" si="2"/>
        <v>Nhất Edulympic (10.000.000đ)</v>
      </c>
    </row>
    <row r="15" spans="1:7" ht="15" customHeight="1" x14ac:dyDescent="0.25">
      <c r="A15" s="22">
        <f t="shared" si="0"/>
        <v>1</v>
      </c>
      <c r="B15" s="21" t="str">
        <f>'Lịch thi đấu'!C9</f>
        <v>Đội 7</v>
      </c>
      <c r="C15" s="17">
        <f>SUMIFS('Tổng kết'!$H$6:$H$29,'Tổng kết'!$A$6:$A$29,"Bóng né",'Tổng kết'!$C$6:$C$29,B15)+IF(COUNTIF('Nhập kết quả'!$I$29:$I$30,B15)&gt;0,100,0)+IF(COUNTIF('Nhập kết quả'!$J$29:$J$30,B15)&gt;0,50,0)+IF(COUNTIF('Nhập kết quả'!$I$33,B15)&gt;0,200,0)+IF(COUNTIF('Nhập kết quả'!$J$33,B15)&gt;0,100,0)</f>
        <v>0</v>
      </c>
      <c r="D15" s="17">
        <f>SUMIFS('Tổng kết'!$H$6:$H$29,'Tổng kết'!$A$6:$A$29,"Kéo co",'Tổng kết'!$C$6:$C$29,B15)+IF(COUNTIF('Nhập kết quả'!$I$31:$I$32,B15)&gt;0,100,0)+IF(COUNTIF('Nhập kết quả'!$J$31:$J$32,B15)&gt;0,50,0)+IF(COUNTIF('Nhập kết quả'!$I$34,B15)&gt;0,200,0)+IF(COUNTIF('Nhập kết quả'!$J$34,B15)&gt;0,100,0)</f>
        <v>0</v>
      </c>
      <c r="E15" s="17">
        <f>(IF(COUNTIF('VĐTT - Nhập KQ'!$E$5:$E$10,B15)&gt;0,100,IF(COUNTIF('VĐTT - Nhập KQ'!$F$5:$F$10,B15)&gt;0,50,0)))+SUMIF('VĐTT - Last of us'!$B$7:$B$24,B15,'VĐTT - Last of us'!$F$7:$F$24)</f>
        <v>0</v>
      </c>
      <c r="F15" s="22">
        <f t="shared" si="1"/>
        <v>0</v>
      </c>
      <c r="G15" s="22" t="str">
        <f t="shared" si="2"/>
        <v>Nhất Edulympic (10.000.000đ)</v>
      </c>
    </row>
    <row r="16" spans="1:7" ht="15" customHeight="1" x14ac:dyDescent="0.25">
      <c r="A16" s="22">
        <f t="shared" si="0"/>
        <v>1</v>
      </c>
      <c r="B16" s="21" t="str">
        <f>'Lịch thi đấu'!D9</f>
        <v>Đội 11</v>
      </c>
      <c r="C16" s="17">
        <f>SUMIFS('Tổng kết'!$H$6:$H$29,'Tổng kết'!$A$6:$A$29,"Bóng né",'Tổng kết'!$C$6:$C$29,B16)+IF(COUNTIF('Nhập kết quả'!$I$29:$I$30,B16)&gt;0,100,0)+IF(COUNTIF('Nhập kết quả'!$J$29:$J$30,B16)&gt;0,50,0)+IF(COUNTIF('Nhập kết quả'!$I$33,B16)&gt;0,200,0)+IF(COUNTIF('Nhập kết quả'!$J$33,B16)&gt;0,100,0)</f>
        <v>0</v>
      </c>
      <c r="D16" s="17">
        <f>SUMIFS('Tổng kết'!$H$6:$H$29,'Tổng kết'!$A$6:$A$29,"Kéo co",'Tổng kết'!$C$6:$C$29,B16)+IF(COUNTIF('Nhập kết quả'!$I$31:$I$32,B16)&gt;0,100,0)+IF(COUNTIF('Nhập kết quả'!$J$31:$J$32,B16)&gt;0,50,0)+IF(COUNTIF('Nhập kết quả'!$I$34,B16)&gt;0,200,0)+IF(COUNTIF('Nhập kết quả'!$J$34,B16)&gt;0,100,0)</f>
        <v>0</v>
      </c>
      <c r="E16" s="17">
        <f>(IF(COUNTIF('VĐTT - Nhập KQ'!$E$5:$E$10,B16)&gt;0,100,IF(COUNTIF('VĐTT - Nhập KQ'!$F$5:$F$10,B16)&gt;0,50,0)))+SUMIF('VĐTT - Last of us'!$B$7:$B$24,B16,'VĐTT - Last of us'!$F$7:$F$24)</f>
        <v>0</v>
      </c>
      <c r="F16" s="22">
        <f t="shared" si="1"/>
        <v>0</v>
      </c>
      <c r="G16" s="22" t="str">
        <f t="shared" si="2"/>
        <v>Nhất Edulympic (10.000.000đ)</v>
      </c>
    </row>
  </sheetData>
  <mergeCells count="2">
    <mergeCell ref="A1:G1"/>
    <mergeCell ref="A2:G2"/>
  </mergeCells>
  <conditionalFormatting sqref="A5:G16">
    <cfRule type="expression" dxfId="2" priority="2">
      <formula>$A5=1</formula>
    </cfRule>
    <cfRule type="expression" dxfId="1" priority="3">
      <formula>$A5=2</formula>
    </cfRule>
    <cfRule type="expression" dxfId="0" priority="4">
      <formula>$A5=3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4"/>
  <sheetViews>
    <sheetView showGridLines="0"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2" customWidth="1"/>
    <col min="3" max="3" width="18" customWidth="1"/>
    <col min="4" max="4" width="16" customWidth="1"/>
    <col min="5" max="5" width="14" customWidth="1"/>
    <col min="6" max="6" width="8" customWidth="1"/>
    <col min="7" max="7" width="24" customWidth="1"/>
  </cols>
  <sheetData>
    <row r="1" spans="1:7" ht="19.5" customHeight="1" x14ac:dyDescent="0.3">
      <c r="A1" s="10" t="s">
        <v>388</v>
      </c>
      <c r="B1" s="10"/>
      <c r="C1" s="10"/>
      <c r="D1" s="10"/>
      <c r="E1" s="10"/>
      <c r="F1" s="10"/>
    </row>
    <row r="2" spans="1:7" ht="15" customHeight="1" x14ac:dyDescent="0.25">
      <c r="A2" s="9" t="s">
        <v>389</v>
      </c>
      <c r="B2" s="9"/>
      <c r="C2" s="9"/>
      <c r="D2" s="9"/>
      <c r="E2" s="9"/>
      <c r="F2" s="9"/>
    </row>
    <row r="3" spans="1:7" ht="15" customHeight="1" x14ac:dyDescent="0.25">
      <c r="A3" s="5" t="s">
        <v>390</v>
      </c>
      <c r="B3" s="5"/>
      <c r="C3" s="5"/>
      <c r="D3" s="5"/>
      <c r="E3" s="5"/>
      <c r="F3" s="5"/>
      <c r="G3" s="5"/>
    </row>
    <row r="4" spans="1:7" ht="15" customHeight="1" x14ac:dyDescent="0.25">
      <c r="A4" s="5" t="s">
        <v>391</v>
      </c>
      <c r="B4" s="5"/>
      <c r="C4" s="5"/>
      <c r="D4" s="5"/>
      <c r="E4" s="5"/>
      <c r="F4" s="5"/>
      <c r="G4" s="5"/>
    </row>
    <row r="6" spans="1:7" ht="31.5" customHeight="1" x14ac:dyDescent="0.25">
      <c r="A6" s="11" t="s">
        <v>3</v>
      </c>
      <c r="B6" s="11" t="s">
        <v>163</v>
      </c>
      <c r="C6" s="11" t="s">
        <v>392</v>
      </c>
      <c r="D6" s="11" t="s">
        <v>393</v>
      </c>
      <c r="E6" s="11" t="s">
        <v>394</v>
      </c>
      <c r="F6" s="11" t="s">
        <v>174</v>
      </c>
      <c r="G6" s="11" t="s">
        <v>395</v>
      </c>
    </row>
    <row r="7" spans="1:7" ht="15" customHeight="1" x14ac:dyDescent="0.25">
      <c r="A7" s="12">
        <v>1</v>
      </c>
      <c r="B7" s="17">
        <f>'VĐTT - Nhập KQ'!E5</f>
        <v>0</v>
      </c>
      <c r="C7" s="14"/>
      <c r="D7" s="19"/>
      <c r="E7" s="22">
        <f t="shared" ref="E7:E24" si="0">IF(D7="",1,19-D7)</f>
        <v>1</v>
      </c>
      <c r="F7" s="22">
        <f t="shared" ref="F7:F24" si="1">IF(D7="",18*5+20,D7*5)</f>
        <v>110</v>
      </c>
      <c r="G7" s="23"/>
    </row>
    <row r="8" spans="1:7" ht="15" customHeight="1" x14ac:dyDescent="0.25">
      <c r="A8" s="12">
        <v>2</v>
      </c>
      <c r="B8" s="17">
        <f>'VĐTT - Nhập KQ'!E5</f>
        <v>0</v>
      </c>
      <c r="C8" s="14"/>
      <c r="D8" s="19"/>
      <c r="E8" s="22">
        <f t="shared" si="0"/>
        <v>1</v>
      </c>
      <c r="F8" s="22">
        <f t="shared" si="1"/>
        <v>110</v>
      </c>
      <c r="G8" s="23"/>
    </row>
    <row r="9" spans="1:7" ht="15" customHeight="1" x14ac:dyDescent="0.25">
      <c r="A9" s="12">
        <v>3</v>
      </c>
      <c r="B9" s="17">
        <f>'VĐTT - Nhập KQ'!E5</f>
        <v>0</v>
      </c>
      <c r="C9" s="14"/>
      <c r="D9" s="19"/>
      <c r="E9" s="22">
        <f t="shared" si="0"/>
        <v>1</v>
      </c>
      <c r="F9" s="22">
        <f t="shared" si="1"/>
        <v>110</v>
      </c>
      <c r="G9" s="23"/>
    </row>
    <row r="10" spans="1:7" ht="15" customHeight="1" x14ac:dyDescent="0.25">
      <c r="A10" s="12">
        <v>4</v>
      </c>
      <c r="B10" s="17">
        <f>'VĐTT - Nhập KQ'!E6</f>
        <v>0</v>
      </c>
      <c r="C10" s="14"/>
      <c r="D10" s="19"/>
      <c r="E10" s="22">
        <f t="shared" si="0"/>
        <v>1</v>
      </c>
      <c r="F10" s="22">
        <f t="shared" si="1"/>
        <v>110</v>
      </c>
      <c r="G10" s="23"/>
    </row>
    <row r="11" spans="1:7" ht="15" customHeight="1" x14ac:dyDescent="0.25">
      <c r="A11" s="12">
        <v>5</v>
      </c>
      <c r="B11" s="17">
        <f>'VĐTT - Nhập KQ'!E6</f>
        <v>0</v>
      </c>
      <c r="C11" s="14"/>
      <c r="D11" s="19"/>
      <c r="E11" s="22">
        <f t="shared" si="0"/>
        <v>1</v>
      </c>
      <c r="F11" s="22">
        <f t="shared" si="1"/>
        <v>110</v>
      </c>
      <c r="G11" s="23"/>
    </row>
    <row r="12" spans="1:7" ht="15" customHeight="1" x14ac:dyDescent="0.25">
      <c r="A12" s="12">
        <v>6</v>
      </c>
      <c r="B12" s="17">
        <f>'VĐTT - Nhập KQ'!E6</f>
        <v>0</v>
      </c>
      <c r="C12" s="14"/>
      <c r="D12" s="19"/>
      <c r="E12" s="22">
        <f t="shared" si="0"/>
        <v>1</v>
      </c>
      <c r="F12" s="22">
        <f t="shared" si="1"/>
        <v>110</v>
      </c>
      <c r="G12" s="23"/>
    </row>
    <row r="13" spans="1:7" ht="15" customHeight="1" x14ac:dyDescent="0.25">
      <c r="A13" s="12">
        <v>7</v>
      </c>
      <c r="B13" s="17">
        <f>'VĐTT - Nhập KQ'!E7</f>
        <v>0</v>
      </c>
      <c r="C13" s="14"/>
      <c r="D13" s="19"/>
      <c r="E13" s="22">
        <f t="shared" si="0"/>
        <v>1</v>
      </c>
      <c r="F13" s="22">
        <f t="shared" si="1"/>
        <v>110</v>
      </c>
      <c r="G13" s="23"/>
    </row>
    <row r="14" spans="1:7" ht="15" customHeight="1" x14ac:dyDescent="0.25">
      <c r="A14" s="12">
        <v>8</v>
      </c>
      <c r="B14" s="17">
        <f>'VĐTT - Nhập KQ'!E7</f>
        <v>0</v>
      </c>
      <c r="C14" s="14"/>
      <c r="D14" s="19"/>
      <c r="E14" s="22">
        <f t="shared" si="0"/>
        <v>1</v>
      </c>
      <c r="F14" s="22">
        <f t="shared" si="1"/>
        <v>110</v>
      </c>
      <c r="G14" s="23"/>
    </row>
    <row r="15" spans="1:7" ht="15" customHeight="1" x14ac:dyDescent="0.25">
      <c r="A15" s="12">
        <v>9</v>
      </c>
      <c r="B15" s="17">
        <f>'VĐTT - Nhập KQ'!E7</f>
        <v>0</v>
      </c>
      <c r="C15" s="14"/>
      <c r="D15" s="19"/>
      <c r="E15" s="22">
        <f t="shared" si="0"/>
        <v>1</v>
      </c>
      <c r="F15" s="22">
        <f t="shared" si="1"/>
        <v>110</v>
      </c>
      <c r="G15" s="23"/>
    </row>
    <row r="16" spans="1:7" ht="15" customHeight="1" x14ac:dyDescent="0.25">
      <c r="A16" s="12">
        <v>10</v>
      </c>
      <c r="B16" s="17">
        <f>'VĐTT - Nhập KQ'!E8</f>
        <v>0</v>
      </c>
      <c r="C16" s="14"/>
      <c r="D16" s="19"/>
      <c r="E16" s="22">
        <f t="shared" si="0"/>
        <v>1</v>
      </c>
      <c r="F16" s="22">
        <f t="shared" si="1"/>
        <v>110</v>
      </c>
      <c r="G16" s="23"/>
    </row>
    <row r="17" spans="1:7" ht="15" customHeight="1" x14ac:dyDescent="0.25">
      <c r="A17" s="12">
        <v>11</v>
      </c>
      <c r="B17" s="17">
        <f>'VĐTT - Nhập KQ'!E8</f>
        <v>0</v>
      </c>
      <c r="C17" s="14"/>
      <c r="D17" s="19"/>
      <c r="E17" s="22">
        <f t="shared" si="0"/>
        <v>1</v>
      </c>
      <c r="F17" s="22">
        <f t="shared" si="1"/>
        <v>110</v>
      </c>
      <c r="G17" s="23"/>
    </row>
    <row r="18" spans="1:7" ht="15" customHeight="1" x14ac:dyDescent="0.25">
      <c r="A18" s="12">
        <v>12</v>
      </c>
      <c r="B18" s="17">
        <f>'VĐTT - Nhập KQ'!E8</f>
        <v>0</v>
      </c>
      <c r="C18" s="14"/>
      <c r="D18" s="19"/>
      <c r="E18" s="22">
        <f t="shared" si="0"/>
        <v>1</v>
      </c>
      <c r="F18" s="22">
        <f t="shared" si="1"/>
        <v>110</v>
      </c>
      <c r="G18" s="23"/>
    </row>
    <row r="19" spans="1:7" ht="15" customHeight="1" x14ac:dyDescent="0.25">
      <c r="A19" s="12">
        <v>13</v>
      </c>
      <c r="B19" s="17">
        <f>'VĐTT - Nhập KQ'!E9</f>
        <v>0</v>
      </c>
      <c r="C19" s="14"/>
      <c r="D19" s="19"/>
      <c r="E19" s="22">
        <f t="shared" si="0"/>
        <v>1</v>
      </c>
      <c r="F19" s="22">
        <f t="shared" si="1"/>
        <v>110</v>
      </c>
      <c r="G19" s="23"/>
    </row>
    <row r="20" spans="1:7" ht="15" customHeight="1" x14ac:dyDescent="0.25">
      <c r="A20" s="12">
        <v>14</v>
      </c>
      <c r="B20" s="17">
        <f>'VĐTT - Nhập KQ'!E9</f>
        <v>0</v>
      </c>
      <c r="C20" s="14"/>
      <c r="D20" s="19"/>
      <c r="E20" s="22">
        <f t="shared" si="0"/>
        <v>1</v>
      </c>
      <c r="F20" s="22">
        <f t="shared" si="1"/>
        <v>110</v>
      </c>
      <c r="G20" s="23"/>
    </row>
    <row r="21" spans="1:7" ht="15" customHeight="1" x14ac:dyDescent="0.25">
      <c r="A21" s="12">
        <v>15</v>
      </c>
      <c r="B21" s="17">
        <f>'VĐTT - Nhập KQ'!E9</f>
        <v>0</v>
      </c>
      <c r="C21" s="14"/>
      <c r="D21" s="19"/>
      <c r="E21" s="22">
        <f t="shared" si="0"/>
        <v>1</v>
      </c>
      <c r="F21" s="22">
        <f t="shared" si="1"/>
        <v>110</v>
      </c>
      <c r="G21" s="23"/>
    </row>
    <row r="22" spans="1:7" ht="15" customHeight="1" x14ac:dyDescent="0.25">
      <c r="A22" s="12">
        <v>16</v>
      </c>
      <c r="B22" s="17">
        <f>'VĐTT - Nhập KQ'!E10</f>
        <v>0</v>
      </c>
      <c r="C22" s="14"/>
      <c r="D22" s="19"/>
      <c r="E22" s="22">
        <f t="shared" si="0"/>
        <v>1</v>
      </c>
      <c r="F22" s="22">
        <f t="shared" si="1"/>
        <v>110</v>
      </c>
      <c r="G22" s="23"/>
    </row>
    <row r="23" spans="1:7" ht="15" customHeight="1" x14ac:dyDescent="0.25">
      <c r="A23" s="12">
        <v>17</v>
      </c>
      <c r="B23" s="17">
        <f>'VĐTT - Nhập KQ'!E10</f>
        <v>0</v>
      </c>
      <c r="C23" s="14"/>
      <c r="D23" s="19"/>
      <c r="E23" s="22">
        <f t="shared" si="0"/>
        <v>1</v>
      </c>
      <c r="F23" s="22">
        <f t="shared" si="1"/>
        <v>110</v>
      </c>
      <c r="G23" s="23"/>
    </row>
    <row r="24" spans="1:7" ht="15" customHeight="1" x14ac:dyDescent="0.25">
      <c r="A24" s="12">
        <v>18</v>
      </c>
      <c r="B24" s="17">
        <f>'VĐTT - Nhập KQ'!E10</f>
        <v>0</v>
      </c>
      <c r="C24" s="14"/>
      <c r="D24" s="19"/>
      <c r="E24" s="22">
        <f t="shared" si="0"/>
        <v>1</v>
      </c>
      <c r="F24" s="22">
        <f t="shared" si="1"/>
        <v>110</v>
      </c>
      <c r="G24" s="23"/>
    </row>
  </sheetData>
  <mergeCells count="4">
    <mergeCell ref="A1:F1"/>
    <mergeCell ref="A2:F2"/>
    <mergeCell ref="A3:G3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42" customWidth="1"/>
    <col min="3" max="3" width="16" customWidth="1"/>
    <col min="4" max="4" width="14" customWidth="1"/>
  </cols>
  <sheetData>
    <row r="1" spans="1:5" ht="19.5" customHeight="1" x14ac:dyDescent="0.3">
      <c r="A1" s="10" t="s">
        <v>396</v>
      </c>
      <c r="B1" s="10"/>
      <c r="C1" s="10"/>
      <c r="D1" s="10"/>
      <c r="E1" s="10"/>
    </row>
    <row r="2" spans="1:5" ht="15" customHeight="1" x14ac:dyDescent="0.25">
      <c r="A2" s="9" t="s">
        <v>397</v>
      </c>
      <c r="B2" s="9"/>
      <c r="C2" s="9"/>
      <c r="D2" s="9"/>
      <c r="E2" s="9"/>
    </row>
    <row r="4" spans="1:5" ht="27.75" customHeight="1" x14ac:dyDescent="0.25">
      <c r="A4" s="11" t="s">
        <v>321</v>
      </c>
      <c r="B4" s="11" t="s">
        <v>398</v>
      </c>
      <c r="C4" s="11" t="s">
        <v>399</v>
      </c>
      <c r="D4" s="11" t="s">
        <v>400</v>
      </c>
    </row>
    <row r="5" spans="1:5" ht="15" customHeight="1" x14ac:dyDescent="0.25">
      <c r="A5" s="31" t="s">
        <v>401</v>
      </c>
      <c r="B5" s="23" t="s">
        <v>402</v>
      </c>
      <c r="C5" s="21" t="str">
        <f>INDEX('Tổng điểm toàn đoàn'!$B$5:$B$16,MATCH(1,'Tổng điểm toàn đoàn'!$A$5:$A$16,0))</f>
        <v>Đội 10</v>
      </c>
      <c r="D5" s="32">
        <v>10000000</v>
      </c>
    </row>
    <row r="6" spans="1:5" ht="15" customHeight="1" x14ac:dyDescent="0.25">
      <c r="A6" s="33" t="s">
        <v>403</v>
      </c>
      <c r="B6" s="23" t="s">
        <v>404</v>
      </c>
      <c r="C6" s="21" t="e">
        <f>INDEX('Tổng điểm toàn đoàn'!$B$5:$B$16,MATCH(2,'Tổng điểm toàn đoàn'!$A$5:$A$16,0))</f>
        <v>#N/A</v>
      </c>
      <c r="D6" s="32">
        <v>5000000</v>
      </c>
    </row>
    <row r="7" spans="1:5" ht="15" customHeight="1" x14ac:dyDescent="0.25">
      <c r="A7" s="34" t="s">
        <v>405</v>
      </c>
      <c r="B7" s="23" t="s">
        <v>406</v>
      </c>
      <c r="C7" s="21" t="e">
        <f>INDEX('Tổng điểm toàn đoàn'!$B$5:$B$16,MATCH(3,'Tổng điểm toàn đoàn'!$A$5:$A$16,0))</f>
        <v>#N/A</v>
      </c>
      <c r="D7" s="32">
        <v>3000000</v>
      </c>
    </row>
    <row r="8" spans="1:5" ht="15" customHeight="1" x14ac:dyDescent="0.25">
      <c r="A8" s="27" t="s">
        <v>407</v>
      </c>
      <c r="B8" s="23" t="s">
        <v>408</v>
      </c>
      <c r="C8" s="21">
        <f>INDEX('VĐTT - Last of us'!$B$7:$B$24,MATCH(1,'VĐTT - Last of us'!$E$7:$E$24,0))</f>
        <v>0</v>
      </c>
      <c r="D8" s="32">
        <v>1000000</v>
      </c>
    </row>
    <row r="9" spans="1:5" ht="30" customHeight="1" x14ac:dyDescent="0.25">
      <c r="A9" s="27" t="s">
        <v>322</v>
      </c>
      <c r="B9" s="15" t="s">
        <v>409</v>
      </c>
      <c r="C9" s="21" t="str">
        <f>'Giải phụ - Chấm điểm'!B5</f>
        <v/>
      </c>
      <c r="D9" s="32">
        <v>500000</v>
      </c>
    </row>
    <row r="10" spans="1:5" ht="30" customHeight="1" x14ac:dyDescent="0.25">
      <c r="A10" s="27" t="s">
        <v>323</v>
      </c>
      <c r="B10" s="15" t="s">
        <v>410</v>
      </c>
      <c r="C10" s="21" t="str">
        <f>'Giải phụ - Chấm điểm'!B6</f>
        <v/>
      </c>
      <c r="D10" s="32">
        <v>500000</v>
      </c>
    </row>
    <row r="11" spans="1:5" ht="30" customHeight="1" x14ac:dyDescent="0.25">
      <c r="A11" s="27" t="s">
        <v>324</v>
      </c>
      <c r="B11" s="15" t="s">
        <v>411</v>
      </c>
      <c r="C11" s="21" t="str">
        <f>'Giải phụ - Chấm điểm'!B7</f>
        <v/>
      </c>
      <c r="D11" s="32">
        <v>500000</v>
      </c>
    </row>
    <row r="12" spans="1:5" ht="30" customHeight="1" x14ac:dyDescent="0.25">
      <c r="A12" s="27" t="s">
        <v>325</v>
      </c>
      <c r="B12" s="15" t="s">
        <v>412</v>
      </c>
      <c r="C12" s="21" t="str">
        <f>'Giải phụ - Chấm điểm'!B8</f>
        <v/>
      </c>
      <c r="D12" s="32">
        <v>500000</v>
      </c>
    </row>
    <row r="13" spans="1:5" ht="30" customHeight="1" x14ac:dyDescent="0.25">
      <c r="A13" s="27" t="s">
        <v>326</v>
      </c>
      <c r="B13" s="15" t="s">
        <v>413</v>
      </c>
      <c r="C13" s="21" t="str">
        <f>'Giải phụ - Chấm điểm'!B9</f>
        <v/>
      </c>
      <c r="D13" s="32">
        <v>500000</v>
      </c>
    </row>
    <row r="14" spans="1:5" ht="30" customHeight="1" x14ac:dyDescent="0.25">
      <c r="A14" s="27" t="s">
        <v>327</v>
      </c>
      <c r="B14" s="15" t="s">
        <v>414</v>
      </c>
      <c r="C14" s="21" t="str">
        <f>'Giải phụ - Chấm điểm'!B10</f>
        <v/>
      </c>
      <c r="D14" s="32">
        <v>500000</v>
      </c>
    </row>
    <row r="15" spans="1:5" ht="30" customHeight="1" x14ac:dyDescent="0.25">
      <c r="A15" s="27" t="s">
        <v>328</v>
      </c>
      <c r="B15" s="15" t="s">
        <v>415</v>
      </c>
      <c r="C15" s="21" t="str">
        <f>'Giải phụ - Chấm điểm'!B11</f>
        <v/>
      </c>
      <c r="D15" s="32">
        <v>500000</v>
      </c>
    </row>
    <row r="16" spans="1:5" ht="30" customHeight="1" x14ac:dyDescent="0.25">
      <c r="A16" s="27" t="s">
        <v>329</v>
      </c>
      <c r="B16" s="15" t="s">
        <v>416</v>
      </c>
      <c r="C16" s="21" t="str">
        <f>'Giải phụ - Chấm điểm'!B12</f>
        <v/>
      </c>
      <c r="D16" s="32">
        <v>500000</v>
      </c>
    </row>
    <row r="17" spans="1:4" ht="30" customHeight="1" x14ac:dyDescent="0.25">
      <c r="A17" s="27" t="s">
        <v>330</v>
      </c>
      <c r="B17" s="15" t="s">
        <v>417</v>
      </c>
      <c r="C17" s="21" t="str">
        <f>'Giải phụ - Chấm điểm'!B13</f>
        <v/>
      </c>
      <c r="D17" s="32">
        <v>500000</v>
      </c>
    </row>
    <row r="18" spans="1:4" ht="30" customHeight="1" x14ac:dyDescent="0.25">
      <c r="A18" s="27" t="s">
        <v>331</v>
      </c>
      <c r="B18" s="15" t="s">
        <v>418</v>
      </c>
      <c r="C18" s="21" t="str">
        <f>'Giải phụ - Chấm điểm'!B14</f>
        <v/>
      </c>
      <c r="D18" s="32">
        <v>500000</v>
      </c>
    </row>
    <row r="19" spans="1:4" ht="30" customHeight="1" x14ac:dyDescent="0.25">
      <c r="A19" s="27" t="s">
        <v>332</v>
      </c>
      <c r="B19" s="15" t="s">
        <v>419</v>
      </c>
      <c r="C19" s="21" t="str">
        <f>'Giải phụ - Chấm điểm'!B15</f>
        <v/>
      </c>
      <c r="D19" s="32">
        <v>500000</v>
      </c>
    </row>
    <row r="20" spans="1:4" ht="30" customHeight="1" x14ac:dyDescent="0.25">
      <c r="A20" s="27" t="s">
        <v>420</v>
      </c>
      <c r="B20" s="15" t="s">
        <v>421</v>
      </c>
      <c r="C20" s="21" t="str">
        <f>'Cầu thủ ghi bàn'!B47&amp;" ("&amp;'Cầu thủ ghi bàn'!C47&amp;")"</f>
        <v xml:space="preserve"> ()</v>
      </c>
      <c r="D20" s="32">
        <v>500000</v>
      </c>
    </row>
    <row r="22" spans="1:4" ht="15" customHeight="1" x14ac:dyDescent="0.25">
      <c r="A22" s="35" t="s">
        <v>422</v>
      </c>
      <c r="D22" s="36">
        <f>SUM(D5:D20)</f>
        <v>25000000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Timeline (5W1H)</vt:lpstr>
      <vt:lpstr>Lịch thi đấu</vt:lpstr>
      <vt:lpstr>Nhập kết quả</vt:lpstr>
      <vt:lpstr>Tổng kết</vt:lpstr>
      <vt:lpstr>Kịch bản chi tiết</vt:lpstr>
      <vt:lpstr>Kịch bản chi tiết (4 sân)</vt:lpstr>
      <vt:lpstr>VĐTT - Nhập KQ</vt:lpstr>
      <vt:lpstr>Giải phụ - Chấm điểm</vt:lpstr>
      <vt:lpstr>Cầu thủ ghi bàn</vt:lpstr>
      <vt:lpstr>Tổng điểm toàn đoàn</vt:lpstr>
      <vt:lpstr>VĐTT - Last of us</vt:lpstr>
      <vt:lpstr>Hạng mục giải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Huy Vu</cp:lastModifiedBy>
  <cp:revision>2</cp:revision>
  <dcterms:created xsi:type="dcterms:W3CDTF">2026-07-16T14:05:37Z</dcterms:created>
  <dcterms:modified xsi:type="dcterms:W3CDTF">2026-07-16T14:12:55Z</dcterms:modified>
  <dc:language>en-US</dc:language>
</cp:coreProperties>
</file>