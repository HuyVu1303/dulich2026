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660" yWindow="6240" windowWidth="21600" windowHeight="11295" tabRatio="500" firstSheet="0" activeTab="0" autoFilterDateGrouping="1"/>
  </bookViews>
  <sheets>
    <sheet xmlns:r="http://schemas.openxmlformats.org/officeDocument/2006/relationships" name="Timeline (5W1H)" sheetId="1" state="visible" r:id="rId1"/>
    <sheet xmlns:r="http://schemas.openxmlformats.org/officeDocument/2006/relationships" name="Lịch thi đấu" sheetId="2" state="visible" r:id="rId2"/>
    <sheet xmlns:r="http://schemas.openxmlformats.org/officeDocument/2006/relationships" name="Danh sách đội" sheetId="3" state="visible" r:id="rId3"/>
    <sheet xmlns:r="http://schemas.openxmlformats.org/officeDocument/2006/relationships" name="Nhập kết quả" sheetId="4" state="visible" r:id="rId4"/>
    <sheet xmlns:r="http://schemas.openxmlformats.org/officeDocument/2006/relationships" name="Tổng kết" sheetId="5" state="visible" r:id="rId5"/>
    <sheet xmlns:r="http://schemas.openxmlformats.org/officeDocument/2006/relationships" name="Kịch bản chi tiết" sheetId="6" state="visible" r:id="rId6"/>
    <sheet xmlns:r="http://schemas.openxmlformats.org/officeDocument/2006/relationships" name="Kịch bản 2 sân (dự phòng)" sheetId="7" state="visible" r:id="rId7"/>
    <sheet xmlns:r="http://schemas.openxmlformats.org/officeDocument/2006/relationships" name="VĐTT - Nhập KQ" sheetId="8" state="visible" r:id="rId8"/>
    <sheet xmlns:r="http://schemas.openxmlformats.org/officeDocument/2006/relationships" name="Giải phụ - Chấm điểm" sheetId="9" state="visible" r:id="rId9"/>
    <sheet xmlns:r="http://schemas.openxmlformats.org/officeDocument/2006/relationships" name="Cầu thủ ghi bàn" sheetId="10" state="visible" r:id="rId10"/>
    <sheet xmlns:r="http://schemas.openxmlformats.org/officeDocument/2006/relationships" name="Tổng điểm toàn đoàn" sheetId="11" state="visible" r:id="rId11"/>
    <sheet xmlns:r="http://schemas.openxmlformats.org/officeDocument/2006/relationships" name="VĐTT - Last of us" sheetId="12" state="visible" r:id="rId12"/>
    <sheet xmlns:r="http://schemas.openxmlformats.org/officeDocument/2006/relationships" name="Hạng mục giải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hh:mm"/>
  </numFmts>
  <fonts count="24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i val="1"/>
      <color rgb="FF555555"/>
      <sz val="11"/>
    </font>
    <font>
      <name val="Arial"/>
      <charset val="1"/>
      <color rgb="FF1F3864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color rgb="FF0000FF"/>
      <sz val="10"/>
    </font>
    <font>
      <name val="Arial"/>
      <charset val="1"/>
      <b val="1"/>
      <color rgb="FF0000FF"/>
      <sz val="10"/>
    </font>
    <font>
      <name val="Arial"/>
      <charset val="1"/>
      <color rgb="FF007A33"/>
      <sz val="10"/>
    </font>
    <font>
      <name val="Arial"/>
      <charset val="1"/>
      <b val="1"/>
      <i val="1"/>
      <sz val="10"/>
    </font>
    <font>
      <name val="Arial"/>
      <charset val="1"/>
      <b val="1"/>
      <color rgb="FF000000"/>
      <sz val="10"/>
    </font>
    <font>
      <name val="Arial"/>
      <charset val="1"/>
      <i val="1"/>
      <color rgb="FFC00000"/>
      <sz val="8"/>
    </font>
    <font>
      <name val="Arial"/>
      <charset val="1"/>
      <b val="1"/>
      <color rgb="FF007A33"/>
      <sz val="10"/>
    </font>
    <font>
      <name val="Arial"/>
      <charset val="1"/>
      <color rgb="FFC00000"/>
      <sz val="9"/>
    </font>
    <font>
      <name val="Arial"/>
      <charset val="1"/>
      <b val="1"/>
      <color rgb="FF1F3864"/>
      <sz val="13"/>
    </font>
    <font>
      <name val="Arial"/>
      <charset val="1"/>
      <i val="1"/>
      <color rgb="FFC00000"/>
      <sz val="9"/>
    </font>
    <font>
      <name val="Arial"/>
      <charset val="1"/>
      <b val="1"/>
      <color rgb="FF1F3864"/>
      <sz val="12"/>
    </font>
    <font>
      <name val="Arial"/>
      <charset val="1"/>
      <b val="1"/>
      <color rgb="FFB7862C"/>
      <sz val="12"/>
    </font>
    <font>
      <name val="Arial"/>
      <charset val="1"/>
      <i val="1"/>
      <color rgb="FF555555"/>
      <sz val="9"/>
    </font>
    <font>
      <name val="Arial"/>
      <charset val="1"/>
      <i val="1"/>
      <color rgb="FF999999"/>
      <sz val="8"/>
    </font>
    <font>
      <name val="Arial"/>
      <charset val="1"/>
      <b val="1"/>
      <color rgb="FF1F3864"/>
      <sz val="18"/>
    </font>
    <font>
      <name val="Arial"/>
      <b val="1"/>
      <color rgb="FFFFFFFF"/>
      <sz val="10"/>
    </font>
    <font>
      <name val="Arial"/>
      <b val="1"/>
      <color rgb="FF0000FF"/>
      <sz val="10"/>
    </font>
    <font>
      <name val="Arial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DEDED"/>
      </patternFill>
    </fill>
    <fill>
      <patternFill patternType="solid">
        <fgColor rgb="FF8C8C8C"/>
        <bgColor rgb="FF878787"/>
      </patternFill>
    </fill>
    <fill>
      <patternFill patternType="solid">
        <fgColor rgb="FFEDEDED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D9D9D9"/>
        <bgColor rgb="FFEDEDED"/>
      </patternFill>
    </fill>
    <fill>
      <patternFill patternType="solid">
        <fgColor rgb="FFE8A96E"/>
        <bgColor rgb="FFFF8080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7" fillId="0" borderId="0" pivotButton="0" quotePrefix="0" xfId="0"/>
    <xf numFmtId="0" fontId="10" fillId="0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10" fillId="6" borderId="1" pivotButton="0" quotePrefix="0" xfId="0"/>
    <xf numFmtId="3" fontId="5" fillId="0" borderId="1" applyAlignment="1" pivotButton="0" quotePrefix="0" xfId="0">
      <alignment horizontal="center" vertical="center"/>
    </xf>
    <xf numFmtId="0" fontId="10" fillId="7" borderId="1" pivotButton="0" quotePrefix="0" xfId="0"/>
    <xf numFmtId="0" fontId="10" fillId="8" borderId="1" pivotButton="0" quotePrefix="0" xfId="0"/>
    <xf numFmtId="0" fontId="10" fillId="3" borderId="1" pivotButton="0" quotePrefix="0" xfId="0"/>
    <xf numFmtId="3" fontId="10" fillId="3" borderId="1" applyAlignment="1" pivotButton="0" quotePrefix="0" xfId="0">
      <alignment horizontal="center" vertical="center"/>
    </xf>
    <xf numFmtId="0" fontId="21" fillId="9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20" fillId="0" borderId="0" pivotButton="0" quotePrefix="0" xfId="0"/>
  </cellXfs>
  <cellStyles count="1">
    <cellStyle name="Normal" xfId="0" builtinId="0"/>
  </cellStyles>
  <dxfs count="3">
    <dxf>
      <fill>
        <patternFill>
          <bgColor rgb="FFE8A96E"/>
        </patternFill>
      </fill>
    </dxf>
    <dxf>
      <fill>
        <patternFill>
          <bgColor rgb="FFD9D9D9"/>
        </patternFill>
      </fill>
    </dxf>
    <dxf>
      <fill>
        <patternFill>
          <bgColor rgb="FFFFD7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B7862C"/>
      <rgbColor rgb="FF800080"/>
      <rgbColor rgb="FF008080"/>
      <rgbColor rgb="FFBFBFBF"/>
      <rgbColor rgb="FF878787"/>
      <rgbColor rgb="FF8C8C8C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E8A96E"/>
      <rgbColor rgb="FF3366FF"/>
      <rgbColor rgb="FF33CCCC"/>
      <rgbColor rgb="FF99CC00"/>
      <rgbColor rgb="FFFFD7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Tổng điểm 3 môn theo đội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'Tổng điểm toàn đoàn'!$F$4</f>
              <strCache>
                <ptCount val="1"/>
                <pt idx="0">
                  <v>Tổng điểm 3 môn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'Tổng điểm toàn đoàn'!$B$5:$B$16</f>
              <strCache>
                <ptCount val="12"/>
                <pt idx="0">
                  <v>Đội 10</v>
                </pt>
                <pt idx="1">
                  <v>Đội 4</v>
                </pt>
                <pt idx="2">
                  <v>Đội 5</v>
                </pt>
                <pt idx="3">
                  <v>Đội 12</v>
                </pt>
                <pt idx="4">
                  <v>Đội 1</v>
                </pt>
                <pt idx="5">
                  <v>Đội 2</v>
                </pt>
                <pt idx="6">
                  <v>Đội 9</v>
                </pt>
                <pt idx="7">
                  <v>Đội 3</v>
                </pt>
                <pt idx="8">
                  <v>Đội 8</v>
                </pt>
                <pt idx="9">
                  <v>Đội 6</v>
                </pt>
                <pt idx="10">
                  <v>Đội 7</v>
                </pt>
                <pt idx="11">
                  <v>Đội 11</v>
                </pt>
              </strCache>
            </strRef>
          </cat>
          <val>
            <numRef>
              <f>'Tổng điểm toàn đoàn'!$F$5:$F$16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9826006"/>
        <axId val="70272871"/>
      </barChart>
      <catAx>
        <axId val="6982600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Đội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0272871"/>
        <crosses val="autoZero"/>
        <auto val="1"/>
        <lblAlgn val="ctr"/>
        <lblOffset val="100"/>
        <noMultiLvlLbl val="0"/>
      </catAx>
      <valAx>
        <axId val="7027287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Điểm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6982600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17</row>
      <rowOff>101160</rowOff>
    </from>
    <to>
      <col>9</col>
      <colOff>70560</colOff>
      <row>36</row>
      <rowOff>80640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1" sqref="A1:I1"/>
    </sheetView>
  </sheetViews>
  <sheetFormatPr baseColWidth="8" defaultColWidth="8.7109375" defaultRowHeight="15"/>
  <cols>
    <col width="5" customWidth="1" style="31" min="1" max="1"/>
    <col width="9" customWidth="1" style="31" min="2" max="4"/>
    <col width="30" customWidth="1" style="31" min="5" max="5"/>
    <col width="40" customWidth="1" style="31" min="6" max="6"/>
    <col width="24" customWidth="1" style="31" min="7" max="7"/>
    <col width="38" customWidth="1" style="31" min="8" max="8"/>
    <col width="46" customWidth="1" style="31" min="9" max="9"/>
  </cols>
  <sheetData>
    <row r="1" ht="19.5" customHeight="1" s="31">
      <c r="A1" s="30" t="inlineStr">
        <is>
          <t>TIMELINE HỘI THAO – MÔ HÌNH 5W1H (CHI TIẾT TỪNG LƯỢT)</t>
        </is>
      </c>
    </row>
    <row r="2" ht="15" customHeight="1" s="31">
      <c r="A2" s="33" t="inlineStr">
        <is>
          <t>Who – What – Where – When – Why – How</t>
        </is>
      </c>
    </row>
    <row r="4" ht="15" customHeight="1" s="31">
      <c r="A4" s="32" t="inlineStr">
        <is>
          <t>Mốc cố định: Bóng né bắt đầu 10:15 (ô B8). Đấu hết vòng bảng CẢ 2 MÔN rồi mới sang bán kết + chung kết CẢ 2 MÔN.</t>
        </is>
      </c>
    </row>
    <row r="6" ht="30" customHeight="1" s="31">
      <c r="A6" s="1" t="inlineStr">
        <is>
          <t>STT</t>
        </is>
      </c>
      <c r="B6" s="1" t="inlineStr">
        <is>
          <t>Bắt đầu</t>
        </is>
      </c>
      <c r="C6" s="1" t="inlineStr">
        <is>
          <t>Kết thúc</t>
        </is>
      </c>
      <c r="D6" s="1" t="inlineStr">
        <is>
          <t>Thời lượng
(phút)</t>
        </is>
      </c>
      <c r="E6" s="1" t="inlineStr">
        <is>
          <t>Ai (Who)</t>
        </is>
      </c>
      <c r="F6" s="1" t="inlineStr">
        <is>
          <t>Làm gì (What)</t>
        </is>
      </c>
      <c r="G6" s="1" t="inlineStr">
        <is>
          <t>Ở đâu (Where)</t>
        </is>
      </c>
      <c r="H6" s="1" t="inlineStr">
        <is>
          <t>Tại sao (Why)</t>
        </is>
      </c>
      <c r="I6" s="1" t="inlineStr">
        <is>
          <t>Làm thế nào (How)</t>
        </is>
      </c>
    </row>
    <row r="7" ht="67.5" customHeight="1" s="31">
      <c r="A7" s="2" t="n">
        <v>1</v>
      </c>
      <c r="B7" s="3">
        <f>C7-D7/1440</f>
        <v/>
      </c>
      <c r="C7" s="3">
        <f>B8</f>
        <v/>
      </c>
      <c r="D7" s="4" t="n">
        <v>10</v>
      </c>
      <c r="E7" s="5" t="inlineStr">
        <is>
          <t>MC + Trưởng BTC + 12 đội trưởng</t>
        </is>
      </c>
      <c r="F7" s="5" t="inlineStr">
        <is>
          <t>Khai mạc chớp nhoáng, phổ biến luật 2 môn (bóng né, kéo co)</t>
        </is>
      </c>
      <c r="G7" s="5" t="inlineStr">
        <is>
          <t>Khu vực sân khấu trung tâm</t>
        </is>
      </c>
      <c r="H7" s="5" t="inlineStr">
        <is>
          <t>Đồng bộ luật 1 lần duy nhất; đảm bảo Bóng né khởi tranh đúng 10:15</t>
        </is>
      </c>
      <c r="I7" s="5" t="inlineStr">
        <is>
          <t>MC dẫn dắt theo kịch bản; phát tờ luật in sẵn cho 12 đội trưởng; từ phút thứ 7, TNV đưa các đội của Lượt 1 Bóng né vào vị trí đúng sân</t>
        </is>
      </c>
    </row>
    <row r="8" ht="67.5" customHeight="1" s="31">
      <c r="A8" s="2" t="n">
        <v>2</v>
      </c>
      <c r="B8" s="6" t="inlineStr">
        <is>
          <t>10:15</t>
        </is>
      </c>
      <c r="C8" s="3">
        <f>B8+D8/1440</f>
        <v/>
      </c>
      <c r="D8" s="7">
        <f>IF(COUNTIF('Lịch thi đấu'!$G$13:$G$24,1)&gt;0,10,0)</f>
        <v/>
      </c>
      <c r="E8" s="5" t="inlineStr">
        <is>
          <t>4 trọng tài chính (Sân 1–4) + 4 time-keeper + 4 TNV gọi đội</t>
        </is>
      </c>
      <c r="F8" s="5" t="inlineStr">
        <is>
          <t>Bóng né vòng bảng — Lượt 1 (4 trận song song). Sân 1: Bảng A (vòng 1) — Sân 2: Bảng B (vòng 1) — Sân 3: Bảng C (vòng 1) — Sân 4: Bảng D (vòng 1)</t>
        </is>
      </c>
      <c r="G8" s="5" t="inlineStr">
        <is>
          <t>Sân bóng né 1–4</t>
        </is>
      </c>
      <c r="H8" s="5" t="inlineStr">
        <is>
          <t>Lấy kết quả Lượt 1 làm dữ liệu xếp hạng vòng bảng — 4 sân nên mỗi sân phụ trách trọn 1 bảng</t>
        </is>
      </c>
      <c r="I8" s="5" t="inlineStr">
        <is>
          <t>Timer 10 phút/sân; từ phút thứ 7, TNV xác nhận các đội của Lượt 2 đã có mặt tại khu chờ đúng sân</t>
        </is>
      </c>
    </row>
    <row r="9" ht="67.5" customHeight="1" s="31">
      <c r="A9" s="2" t="n">
        <v>3</v>
      </c>
      <c r="B9" s="3">
        <f>C8</f>
        <v/>
      </c>
      <c r="C9" s="3">
        <f>B9+D9/1440</f>
        <v/>
      </c>
      <c r="D9" s="7">
        <f>IF(COUNTIF('Lịch thi đấu'!$G$13:$G$24,2)&gt;0,10,0)</f>
        <v/>
      </c>
      <c r="E9" s="5" t="inlineStr">
        <is>
          <t>4 trọng tài chính (Sân 1–4) + 4 time-keeper + 4 TNV gọi đội</t>
        </is>
      </c>
      <c r="F9" s="5" t="inlineStr">
        <is>
          <t>Bóng né vòng bảng — Lượt 2 (4 trận song song). Sân 1: Bảng A (vòng 2) — Sân 2: Bảng B (vòng 2) — Sân 3: Bảng C (vòng 2) — Sân 4: Bảng D (vòng 2)</t>
        </is>
      </c>
      <c r="G9" s="5" t="inlineStr">
        <is>
          <t>Sân bóng né 1–4</t>
        </is>
      </c>
      <c r="H9" s="5" t="inlineStr">
        <is>
          <t>Lấy kết quả Lượt 2 làm dữ liệu xếp hạng vòng bảng — 4 sân nên mỗi sân phụ trách trọn 1 bảng</t>
        </is>
      </c>
      <c r="I9" s="5" t="inlineStr">
        <is>
          <t>Timer 10 phút/sân; từ phút thứ 7, TNV xác nhận các đội của Lượt 3 đã có mặt tại khu chờ đúng sân</t>
        </is>
      </c>
    </row>
    <row r="10" ht="67.5" customHeight="1" s="31">
      <c r="A10" s="2" t="n">
        <v>4</v>
      </c>
      <c r="B10" s="3">
        <f>C9</f>
        <v/>
      </c>
      <c r="C10" s="3">
        <f>B10+D10/1440</f>
        <v/>
      </c>
      <c r="D10" s="7">
        <f>IF(COUNTIF('Lịch thi đấu'!$G$13:$G$24,3)&gt;0,10,0)</f>
        <v/>
      </c>
      <c r="E10" s="5" t="inlineStr">
        <is>
          <t>4 trọng tài chính (Sân 1–4) + 4 time-keeper + 4 TNV gọi đội</t>
        </is>
      </c>
      <c r="F10" s="5" t="inlineStr">
        <is>
          <t>Bóng né vòng bảng — Lượt 3 (4 trận song song). Sân 1: Bảng A (vòng 3) — Sân 2: Bảng B (vòng 3) — Sân 3: Bảng C (vòng 3) — Sân 4: Bảng D (vòng 3)</t>
        </is>
      </c>
      <c r="G10" s="5" t="inlineStr">
        <is>
          <t>Sân bóng né 1–4</t>
        </is>
      </c>
      <c r="H10" s="5" t="inlineStr">
        <is>
          <t>Hoàn tất đủ 12 trận vòng bảng Bóng né trước khi sang Kéo co</t>
        </is>
      </c>
      <c r="I10" s="5" t="inlineStr">
        <is>
          <t>Timer 10 phút/sân; từ phút thứ 7, TNV thông báo và bắt đầu dẫn 12 đội di chuyển dần sang khu kéo co ngay khi kết thúc trận của đội mình</t>
        </is>
      </c>
    </row>
    <row r="11" ht="67.5" customHeight="1" s="31">
      <c r="A11" s="2" t="n">
        <v>5</v>
      </c>
      <c r="B11" s="3">
        <f>C10</f>
        <v/>
      </c>
      <c r="C11" s="3">
        <f>B11+D11/1440</f>
        <v/>
      </c>
      <c r="D11" s="4" t="n">
        <v>10</v>
      </c>
      <c r="E11" s="5" t="inlineStr">
        <is>
          <t>TNV hậu cần + toàn bộ 12 đội</t>
        </is>
      </c>
      <c r="F11" s="5" t="inlineStr">
        <is>
          <t>Di chuyển sang khu vực kéo co, phát nước</t>
        </is>
      </c>
      <c r="G11" s="5" t="inlineStr">
        <is>
          <t>Từ khu bóng né sang khu kéo co</t>
        </is>
      </c>
      <c r="H11" s="5" t="inlineStr">
        <is>
          <t>Đảm bảo chuyển tiếp mượt giữa 2 môn, không dồn toa</t>
        </is>
      </c>
      <c r="I11" s="5" t="inlineStr">
        <is>
          <t>TNV hướng dẫn theo màu đội; dây kéo co đã dựng sẵn trước; từ phút thứ 7, xác nhận các đội của Lượt 1 Kéo co đã vào vị trí cầm dây</t>
        </is>
      </c>
    </row>
    <row r="12" ht="67.5" customHeight="1" s="31">
      <c r="A12" s="2" t="n">
        <v>6</v>
      </c>
      <c r="B12" s="3">
        <f>C11</f>
        <v/>
      </c>
      <c r="C12" s="3">
        <f>B12+D12/1440</f>
        <v/>
      </c>
      <c r="D12" s="7">
        <f>IF(COUNTIF('Lịch thi đấu'!$G$25:$G$36,1)&gt;0,10,0)</f>
        <v/>
      </c>
      <c r="E12" s="5" t="inlineStr">
        <is>
          <t>3 trọng tài chính (Dây 1–3) + 3 time-keeper + 3 TNV gọi đội</t>
        </is>
      </c>
      <c r="F12" s="5" t="inlineStr">
        <is>
          <t>Kéo co vòng bảng — Lượt 1 (3 trận song song). Dây 1: Bảng A (vòng 1) — Dây 2: Bảng B (vòng 1) — Dây 3: Bảng C (vòng 1)</t>
        </is>
      </c>
      <c r="G12" s="5" t="inlineStr">
        <is>
          <t>Khu kéo co — Dây 1–3</t>
        </is>
      </c>
      <c r="H12" s="5" t="inlineStr">
        <is>
          <t>Lấy kết quả Lượt 1 làm dữ liệu xếp hạng vòng bảng — trận đấu xoay vòng qua 3 dây để không dây nào rảnh sớm hoặc gánh nặng hơn</t>
        </is>
      </c>
      <c r="I12" s="5" t="inlineStr">
        <is>
          <t>Timer 10 phút/dây, áp dụng luật dừng cứng khi hết giờ; từ phút thứ 7, TNV xác nhận các đội của Lượt 2 đã có mặt tại vị trí chờ</t>
        </is>
      </c>
    </row>
    <row r="13" ht="67.5" customHeight="1" s="31">
      <c r="A13" s="2" t="n">
        <v>7</v>
      </c>
      <c r="B13" s="3">
        <f>C12</f>
        <v/>
      </c>
      <c r="C13" s="3">
        <f>B13+D13/1440</f>
        <v/>
      </c>
      <c r="D13" s="7">
        <f>IF(COUNTIF('Lịch thi đấu'!$G$25:$G$36,2)&gt;0,10,0)</f>
        <v/>
      </c>
      <c r="E13" s="5" t="inlineStr">
        <is>
          <t>3 trọng tài chính (Dây 1–3) + 3 time-keeper + 3 TNV gọi đội</t>
        </is>
      </c>
      <c r="F13" s="5" t="inlineStr">
        <is>
          <t>Kéo co vòng bảng — Lượt 2 (3 trận song song). Dây 1: Bảng D (vòng 1) — Dây 2: Bảng A (vòng 2) — Dây 3: Bảng B (vòng 2)</t>
        </is>
      </c>
      <c r="G13" s="5" t="inlineStr">
        <is>
          <t>Khu kéo co — Dây 1–3</t>
        </is>
      </c>
      <c r="H13" s="5" t="inlineStr">
        <is>
          <t>Lấy kết quả Lượt 2 làm dữ liệu xếp hạng vòng bảng — trận đấu xoay vòng qua 3 dây để không dây nào rảnh sớm hoặc gánh nặng hơn</t>
        </is>
      </c>
      <c r="I13" s="5" t="inlineStr">
        <is>
          <t>Timer 10 phút/dây, áp dụng luật dừng cứng khi hết giờ; từ phút thứ 7, TNV xác nhận các đội của Lượt 3 đã có mặt tại vị trí chờ</t>
        </is>
      </c>
    </row>
    <row r="14" ht="67.5" customHeight="1" s="31">
      <c r="A14" s="2" t="n">
        <v>8</v>
      </c>
      <c r="B14" s="3">
        <f>C13</f>
        <v/>
      </c>
      <c r="C14" s="3">
        <f>B14+D14/1440</f>
        <v/>
      </c>
      <c r="D14" s="7">
        <f>IF(COUNTIF('Lịch thi đấu'!$G$25:$G$36,3)&gt;0,10,0)</f>
        <v/>
      </c>
      <c r="E14" s="5" t="inlineStr">
        <is>
          <t>3 trọng tài chính (Dây 1–3) + 3 time-keeper + 3 TNV gọi đội</t>
        </is>
      </c>
      <c r="F14" s="5" t="inlineStr">
        <is>
          <t>Kéo co vòng bảng — Lượt 3 (3 trận song song). Dây 1: Bảng C (vòng 2) — Dây 2: Bảng D (vòng 2) — Dây 3: Bảng A (vòng 3)</t>
        </is>
      </c>
      <c r="G14" s="5" t="inlineStr">
        <is>
          <t>Khu kéo co — Dây 1–3</t>
        </is>
      </c>
      <c r="H14" s="5" t="inlineStr">
        <is>
          <t>Lấy kết quả Lượt 3 làm dữ liệu xếp hạng vòng bảng — trận đấu xoay vòng qua 3 dây để không dây nào rảnh sớm hoặc gánh nặng hơn</t>
        </is>
      </c>
      <c r="I14" s="5" t="inlineStr">
        <is>
          <t>Timer 10 phút/dây, áp dụng luật dừng cứng khi hết giờ; từ phút thứ 7, TNV xác nhận các đội của Lượt 4 đã có mặt tại vị trí chờ</t>
        </is>
      </c>
    </row>
    <row r="15" ht="67.5" customHeight="1" s="31">
      <c r="A15" s="2" t="n">
        <v>9</v>
      </c>
      <c r="B15" s="3">
        <f>C14</f>
        <v/>
      </c>
      <c r="C15" s="3">
        <f>B15+D15/1440</f>
        <v/>
      </c>
      <c r="D15" s="7">
        <f>IF(COUNTIF('Lịch thi đấu'!$G$25:$G$36,4)&gt;0,10,0)</f>
        <v/>
      </c>
      <c r="E15" s="5" t="inlineStr">
        <is>
          <t>3 trọng tài chính (Dây 1–3) + 3 time-keeper + 3 TNV gọi đội</t>
        </is>
      </c>
      <c r="F15" s="5" t="inlineStr">
        <is>
          <t>Kéo co vòng bảng — Lượt 4 (3 trận song song). Dây 1: Bảng B (vòng 3) — Dây 2: Bảng C (vòng 3) — Dây 3: Bảng D (vòng 3)</t>
        </is>
      </c>
      <c r="G15" s="5" t="inlineStr">
        <is>
          <t>Khu kéo co — Dây 1–3</t>
        </is>
      </c>
      <c r="H15" s="5" t="inlineStr">
        <is>
          <t>Hoàn tất đủ 12 trận vòng bảng Kéo co — kết thúc TOÀN BỘ vòng bảng của cả 2 môn</t>
        </is>
      </c>
      <c r="I15" s="5" t="inlineStr">
        <is>
          <t>Timer 10 phút/dây; từ phút thứ 7, TNV thông báo nghỉ giải lao ngắn tại chỗ, chờ BTC tổng hợp kết quả vòng bảng</t>
        </is>
      </c>
    </row>
    <row r="16" ht="67.5" customHeight="1" s="31">
      <c r="A16" s="2" t="n">
        <v>10</v>
      </c>
      <c r="B16" s="3">
        <f>C15</f>
        <v/>
      </c>
      <c r="C16" s="3">
        <f>B16+D16/1440</f>
        <v/>
      </c>
      <c r="D16" s="4" t="n">
        <v>10</v>
      </c>
      <c r="E16" s="5" t="inlineStr">
        <is>
          <t>Ban thư ký (2 người) + BTC hậu cần</t>
        </is>
      </c>
      <c r="F16" s="5" t="inlineStr">
        <is>
          <t>Tổng hợp kết quả vòng bảng cả 2 môn, chốt danh sách đội vào bán kết</t>
        </is>
      </c>
      <c r="G16" s="5" t="inlineStr">
        <is>
          <t>Bàn điều hành / Ban thư ký</t>
        </is>
      </c>
      <c r="H16" s="5" t="inlineStr">
        <is>
          <t>Đảm bảo đúng đội — đúng bảng đấu vào bán kết trước khi công bố, tránh nhầm lẫn khi đã đấu xong toàn bộ vòng bảng</t>
        </is>
      </c>
      <c r="I16" s="5" t="inlineStr">
        <is>
          <t>Nhập nốt kết quả lượt cuối vào 'Nhập kết quả'; xem tự động tại 'Tổng kết' mục 1; MC giữ nhịp bằng giao lưu/minigame khán giả trong lúc chờ</t>
        </is>
      </c>
    </row>
    <row r="17" ht="67.5" customHeight="1" s="31">
      <c r="A17" s="2" t="n">
        <v>11</v>
      </c>
      <c r="B17" s="3">
        <f>C16</f>
        <v/>
      </c>
      <c r="C17" s="3">
        <f>B17+D17/1440</f>
        <v/>
      </c>
      <c r="D17" s="4" t="n">
        <v>10</v>
      </c>
      <c r="E17" s="5" t="inlineStr">
        <is>
          <t>2 trọng tài (Sân 1–2) + 2 time-keeper + 2 TNV gọi đội</t>
        </is>
      </c>
      <c r="F17" s="5" t="inlineStr">
        <is>
          <t>Bóng né — Bán kết (BK1: Nhất bảng A vs Nhất bảng B; BK2: Nhất bảng C vs Nhất bảng D)</t>
        </is>
      </c>
      <c r="G17" s="5" t="inlineStr">
        <is>
          <t>Sân bóng né 1–2</t>
        </is>
      </c>
      <c r="H17" s="5" t="inlineStr">
        <is>
          <t>Xác định 2 đội vào chung kết Bóng né — dùng đúng 2 sân hiện có, không dư không thiếu</t>
        </is>
      </c>
      <c r="I17" s="5" t="inlineStr">
        <is>
          <t>Timer 10 phút/sân; từ phút thứ 7, TNV xác nhận 4 đội Bán kết Kéo co đã có mặt tại khu kéo co để chạy nối tiếp ngay sau đó</t>
        </is>
      </c>
    </row>
    <row r="18" ht="67.5" customHeight="1" s="31">
      <c r="A18" s="2" t="n">
        <v>12</v>
      </c>
      <c r="B18" s="3">
        <f>C17</f>
        <v/>
      </c>
      <c r="C18" s="3">
        <f>B18+D18/1440</f>
        <v/>
      </c>
      <c r="D18" s="4" t="n">
        <v>10</v>
      </c>
      <c r="E18" s="5" t="inlineStr">
        <is>
          <t>2 trọng tài (Dây 1–2) + 2 time-keeper + 2 TNV gọi đội</t>
        </is>
      </c>
      <c r="F18" s="5" t="inlineStr">
        <is>
          <t>Kéo co — Bán kết (BK1: Nhất bảng A vs Nhất bảng B; BK2: Nhất bảng C vs Nhất bảng D)</t>
        </is>
      </c>
      <c r="G18" s="5" t="inlineStr">
        <is>
          <t>Khu kéo co — Dây 1–2 (Dây 3 để trống)</t>
        </is>
      </c>
      <c r="H18" s="5" t="inlineStr">
        <is>
          <t>Xác định 2 đội vào chung kết Kéo co</t>
        </is>
      </c>
      <c r="I18" s="5" t="inlineStr">
        <is>
          <t>Timer 10 phút/dây; từ phút thứ 7, TNV thông báo nghỉ ngắn tại chỗ chờ BTC tổng hợp kết quả bán kết cả 2 môn</t>
        </is>
      </c>
    </row>
    <row r="19" ht="67.5" customHeight="1" s="31">
      <c r="A19" s="2" t="n">
        <v>13</v>
      </c>
      <c r="B19" s="3">
        <f>C18</f>
        <v/>
      </c>
      <c r="C19" s="3">
        <f>B19+D19/1440</f>
        <v/>
      </c>
      <c r="D19" s="4" t="n">
        <v>10</v>
      </c>
      <c r="E19" s="5" t="inlineStr">
        <is>
          <t>Ban thư ký + BTC hậu cần</t>
        </is>
      </c>
      <c r="F19" s="5" t="inlineStr">
        <is>
          <t>Tổng hợp kết quả bán kết cả 2 môn, chốt danh sách đội vào chung kết</t>
        </is>
      </c>
      <c r="G19" s="5" t="inlineStr">
        <is>
          <t>Bàn điều hành / Ban thư ký</t>
        </is>
      </c>
      <c r="H19" s="5" t="inlineStr">
        <is>
          <t>Đảm bảo đúng đội vào chung kết trước khi công bố</t>
        </is>
      </c>
      <c r="I19" s="5" t="inlineStr">
        <is>
          <t>Nhập vào 'Nhập kết quả'; xem tự động tại 'Tổng kết' mục 3; MC hâm nóng không khí, mời khán giả tập trung quanh sân trung tâm</t>
        </is>
      </c>
    </row>
    <row r="20" ht="67.5" customHeight="1" s="31">
      <c r="A20" s="2" t="n">
        <v>14</v>
      </c>
      <c r="B20" s="3">
        <f>C19</f>
        <v/>
      </c>
      <c r="C20" s="3">
        <f>B20+D20/1440</f>
        <v/>
      </c>
      <c r="D20" s="4" t="n">
        <v>10</v>
      </c>
      <c r="E20" s="5" t="inlineStr">
        <is>
          <t>1 trọng tài chính + 1 time-keeper + toàn bộ TNV hỗ trợ khán giả</t>
        </is>
      </c>
      <c r="F20" s="5" t="inlineStr">
        <is>
          <t>Chung kết Bóng né</t>
        </is>
      </c>
      <c r="G20" s="5" t="inlineStr">
        <is>
          <t>Sân bóng né 1 (sân trung tâm)</t>
        </is>
      </c>
      <c r="H20" s="5" t="inlineStr">
        <is>
          <t>Xác định đội vô địch Bóng né</t>
        </is>
      </c>
      <c r="I20" s="5" t="inlineStr">
        <is>
          <t>Timer 10 phút; MC tường thuật trực tiếp tạo không khí; từ phút thứ 7, TNV xác nhận 2 đội Chung kết Kéo co đã có mặt sẵn sàng</t>
        </is>
      </c>
    </row>
    <row r="21" ht="67.5" customHeight="1" s="31">
      <c r="A21" s="2" t="n">
        <v>15</v>
      </c>
      <c r="B21" s="3">
        <f>C20</f>
        <v/>
      </c>
      <c r="C21" s="3">
        <f>B21+D21/1440</f>
        <v/>
      </c>
      <c r="D21" s="4" t="n">
        <v>10</v>
      </c>
      <c r="E21" s="5" t="inlineStr">
        <is>
          <t>1 trọng tài chính + 1 time-keeper + toàn bộ TNV hỗ trợ khán giả</t>
        </is>
      </c>
      <c r="F21" s="5" t="inlineStr">
        <is>
          <t>Chung kết Kéo co</t>
        </is>
      </c>
      <c r="G21" s="5" t="inlineStr">
        <is>
          <t>Khu kéo co — Dây 1 (khu trung tâm)</t>
        </is>
      </c>
      <c r="H21" s="5" t="inlineStr">
        <is>
          <t>Xác định đội vô địch Kéo co</t>
        </is>
      </c>
      <c r="I21" s="5" t="inlineStr">
        <is>
          <t>Timer 10 phút; MC tường thuật trực tiếp, khuấy động khán giả 2 bên</t>
        </is>
      </c>
    </row>
    <row r="22" ht="67.5" customHeight="1" s="31">
      <c r="A22" s="2" t="n">
        <v>16</v>
      </c>
      <c r="B22" s="3">
        <f>C21</f>
        <v/>
      </c>
      <c r="C22" s="3">
        <f>B22+D22/1440</f>
        <v/>
      </c>
      <c r="D22" s="4" t="n">
        <v>15</v>
      </c>
      <c r="E22" s="5" t="inlineStr">
        <is>
          <t>Ban thư ký + Ban hậu cần khen thưởng</t>
        </is>
      </c>
      <c r="F22" s="5" t="inlineStr">
        <is>
          <t>Chốt kết quả vô địch 2 môn; CHUẨN BỊ BẰNG KHEN, CÚP, PHẦN THƯỞNG đúng thứ tự Nhất – Nhì – Ba của từng môn</t>
        </is>
      </c>
      <c r="G22" s="5" t="inlineStr">
        <is>
          <t>Bàn điều hành + khu hậu cần trao giải (cạnh sân khấu)</t>
        </is>
      </c>
      <c r="H22" s="5" t="inlineStr">
        <is>
          <t>Tránh lúng túng, gọi nhầm tên hoặc thiếu/lộn phần thưởng khi trao giải trên sân khấu</t>
        </is>
      </c>
      <c r="I22" s="5" t="inlineStr">
        <is>
          <t>Thư ký chốt danh sách xếp hạng cuối cùng từ 'Tổng kết'; hậu cần xếp bằng khen/cúp theo đúng thứ tự MC sẽ xướng tên; kiểm đếm đủ số lượng trước khi mang lên sân khấu</t>
        </is>
      </c>
    </row>
    <row r="23" ht="67.5" customHeight="1" s="31">
      <c r="A23" s="2" t="n">
        <v>17</v>
      </c>
      <c r="B23" s="3">
        <f>C22</f>
        <v/>
      </c>
      <c r="C23" s="3">
        <f>B23+D23/1440</f>
        <v/>
      </c>
      <c r="D23" s="4" t="n">
        <v>15</v>
      </c>
      <c r="E23" s="5" t="inlineStr">
        <is>
          <t>MC + Ban giám khảo + đại diện công ty</t>
        </is>
      </c>
      <c r="F23" s="5" t="inlineStr">
        <is>
          <t>Trao giải Vô địch Bóng né, Vô địch Kéo co + chụp ảnh lưu niệm</t>
        </is>
      </c>
      <c r="G23" s="5" t="inlineStr">
        <is>
          <t>Khu vực sân khấu trung tâm</t>
        </is>
      </c>
      <c r="H23" s="5" t="inlineStr">
        <is>
          <t>Vinh danh các đội, tạo dấu ấn kết thúc chương trình</t>
        </is>
      </c>
      <c r="I23" s="5" t="inlineStr">
        <is>
          <t>MC xướng tên đúng thứ tự đã chuẩn bị ở bước trước; trao cúp/bằng khen từng đội; chụp ảnh toàn đoàn</t>
        </is>
      </c>
    </row>
    <row r="24" ht="67.5" customHeight="1" s="31">
      <c r="A24" s="2" t="n">
        <v>18</v>
      </c>
      <c r="B24" s="3">
        <f>C23</f>
        <v/>
      </c>
      <c r="C24" s="3">
        <f>B24+D24/1440</f>
        <v/>
      </c>
      <c r="D24" s="4" t="n">
        <v>15</v>
      </c>
      <c r="E24" s="5" t="inlineStr">
        <is>
          <t>Toàn bộ BTC</t>
        </is>
      </c>
      <c r="F24" s="5" t="inlineStr">
        <is>
          <t>Dự phòng xử lý phát sinh (trễ giờ, thời tiết, sự cố kỹ thuật)</t>
        </is>
      </c>
      <c r="G24" s="5" t="inlineStr">
        <is>
          <t>Toàn khu vực</t>
        </is>
      </c>
      <c r="H24" s="5" t="inlineStr">
        <is>
          <t>Hấp thụ rủi ro trễ giờ tích lũy trong suốt chương trình</t>
        </is>
      </c>
      <c r="I24" s="5" t="inlineStr">
        <is>
          <t>Chỉ dùng khi có phát sinh</t>
        </is>
      </c>
    </row>
  </sheetData>
  <mergeCells count="3">
    <mergeCell ref="A1:I1"/>
    <mergeCell ref="A4:I4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zoomScaleNormal="100" workbookViewId="0">
      <pane ySplit="12" topLeftCell="A13" activePane="bottomLeft" state="frozen"/>
      <selection pane="bottomLeft" activeCell="A1" sqref="A1"/>
    </sheetView>
  </sheetViews>
  <sheetFormatPr baseColWidth="8" defaultColWidth="8.7109375" defaultRowHeight="15"/>
  <cols>
    <col width="5" customWidth="1" style="31" min="1" max="1"/>
    <col width="10" customWidth="1" style="31" min="2" max="2"/>
    <col width="20" customWidth="1" style="31" min="3" max="3"/>
    <col width="9" customWidth="1" style="31" min="4" max="4"/>
    <col width="12" customWidth="1" style="31" min="5" max="6"/>
    <col width="7" customWidth="1" style="31" min="7" max="7"/>
    <col width="12" customWidth="1" style="31" min="8" max="9"/>
    <col width="14" customWidth="1" style="31" min="10" max="10"/>
    <col width="12" customWidth="1" style="31" min="11" max="11"/>
    <col width="14" customWidth="1" style="31" min="12" max="12"/>
  </cols>
  <sheetData>
    <row r="1" ht="19.5" customHeight="1" s="31">
      <c r="A1" s="30" t="inlineStr">
        <is>
          <t>LỊCH THI ĐẤU — BÓNG NÉ &amp; KÉO CO</t>
        </is>
      </c>
    </row>
    <row r="2" ht="15" customHeight="1" s="31">
      <c r="A2" s="33" t="inlineStr">
        <is>
          <t>4 sân bóng né (1 sân/bảng, 3 lượt) + 3 dây kéo co (xoay vòng, 4 lượt). Đấu hết vòng bảng CẢ 2 MÔN rồi mới sang Bán kết + Chung kết CẢ 2 MÔN — 15 trận/môn. Đổi cột "Lượt"/"Sân-Dây" nếu venue thay đổi (vd chỉ còn 2 sân bóng né, xem sheet dự phòng).</t>
        </is>
      </c>
    </row>
    <row r="4" ht="15" customHeight="1" s="31">
      <c r="A4" s="34" t="inlineStr">
        <is>
          <t>Danh sách đội theo bảng (chỉnh sửa tên đội tại đây — lịch thi đấu bên dưới sẽ tự cập nhật)</t>
        </is>
      </c>
    </row>
    <row r="5" ht="23.25" customHeight="1" s="31">
      <c r="A5" s="1" t="inlineStr">
        <is>
          <t>Bảng</t>
        </is>
      </c>
      <c r="B5" s="1" t="inlineStr">
        <is>
          <t>Vị trí 1</t>
        </is>
      </c>
      <c r="C5" s="1" t="inlineStr">
        <is>
          <t>Vị trí 2</t>
        </is>
      </c>
      <c r="D5" s="1" t="inlineStr">
        <is>
          <t>Vị trí 3</t>
        </is>
      </c>
    </row>
    <row r="6" ht="15" customHeight="1" s="31">
      <c r="A6" s="8" t="inlineStr">
        <is>
          <t>Bảng A</t>
        </is>
      </c>
      <c r="B6" s="4" t="inlineStr">
        <is>
          <t>Đội 10</t>
        </is>
      </c>
      <c r="C6" s="4" t="inlineStr">
        <is>
          <t>Đội 4</t>
        </is>
      </c>
      <c r="D6" s="4" t="inlineStr">
        <is>
          <t>Đội 5</t>
        </is>
      </c>
    </row>
    <row r="7" ht="15" customHeight="1" s="31">
      <c r="A7" s="8" t="inlineStr">
        <is>
          <t>Bảng B</t>
        </is>
      </c>
      <c r="B7" s="4" t="inlineStr">
        <is>
          <t>Đội 12</t>
        </is>
      </c>
      <c r="C7" s="4" t="inlineStr">
        <is>
          <t>Đội 1</t>
        </is>
      </c>
      <c r="D7" s="4" t="inlineStr">
        <is>
          <t>Đội 2</t>
        </is>
      </c>
    </row>
    <row r="8" ht="15" customHeight="1" s="31">
      <c r="A8" s="8" t="inlineStr">
        <is>
          <t>Bảng C</t>
        </is>
      </c>
      <c r="B8" s="4" t="inlineStr">
        <is>
          <t>Đội 9</t>
        </is>
      </c>
      <c r="C8" s="4" t="inlineStr">
        <is>
          <t>Đội 3</t>
        </is>
      </c>
      <c r="D8" s="4" t="inlineStr">
        <is>
          <t>Đội 8</t>
        </is>
      </c>
    </row>
    <row r="9" ht="15" customHeight="1" s="31">
      <c r="A9" s="8" t="inlineStr">
        <is>
          <t>Bảng D</t>
        </is>
      </c>
      <c r="B9" s="4" t="inlineStr">
        <is>
          <t>Đội 6</t>
        </is>
      </c>
      <c r="C9" s="4" t="inlineStr">
        <is>
          <t>Đội 7</t>
        </is>
      </c>
      <c r="D9" s="4" t="inlineStr">
        <is>
          <t>Đội 11</t>
        </is>
      </c>
    </row>
    <row r="11" ht="15" customHeight="1" s="31">
      <c r="G11" s="35" t="inlineStr">
        <is>
          <t>Cột G (Lượt) màu xanh — sửa số này khi đổi số sân/dây, giờ sẽ tự tính lại</t>
        </is>
      </c>
    </row>
    <row r="12" ht="15" customHeight="1" s="31">
      <c r="A12" s="1" t="inlineStr">
        <is>
          <t>STT</t>
        </is>
      </c>
      <c r="B12" s="1" t="inlineStr">
        <is>
          <t>Môn</t>
        </is>
      </c>
      <c r="C12" s="1" t="inlineStr">
        <is>
          <t>Giai đoạn</t>
        </is>
      </c>
      <c r="D12" s="1" t="inlineStr">
        <is>
          <t>Sân/Dây</t>
        </is>
      </c>
      <c r="E12" s="1" t="inlineStr">
        <is>
          <t>Đội 1</t>
        </is>
      </c>
      <c r="F12" s="1" t="inlineStr">
        <is>
          <t>Đội 2</t>
        </is>
      </c>
      <c r="G12" s="1" t="inlineStr">
        <is>
          <t>Lượt</t>
        </is>
      </c>
      <c r="H12" s="1" t="inlineStr">
        <is>
          <t>Giờ bắt đầu</t>
        </is>
      </c>
      <c r="I12" s="1" t="inlineStr">
        <is>
          <t>Giờ kết thúc</t>
        </is>
      </c>
      <c r="J12" s="27" t="inlineStr">
        <is>
          <t>Trạng thái</t>
        </is>
      </c>
      <c r="K12" s="27" t="inlineStr">
        <is>
          <t>Đội thắng</t>
        </is>
      </c>
      <c r="L12" s="27" t="inlineStr">
        <is>
          <t>Đang thi đấu?</t>
        </is>
      </c>
    </row>
    <row r="13" ht="15" customHeight="1" s="31">
      <c r="A13" s="2" t="n">
        <v>1</v>
      </c>
      <c r="B13" s="2" t="inlineStr">
        <is>
          <t>Bóng né</t>
        </is>
      </c>
      <c r="C13" s="2" t="inlineStr">
        <is>
          <t>Vòng bảng — Bảng A (vòng 1)</t>
        </is>
      </c>
      <c r="D13" s="4" t="inlineStr">
        <is>
          <t>Sân 1</t>
        </is>
      </c>
      <c r="E13" s="2">
        <f>B6</f>
        <v/>
      </c>
      <c r="F13" s="2">
        <f>C6</f>
        <v/>
      </c>
      <c r="G13" s="9" t="n">
        <v>1</v>
      </c>
      <c r="H13" s="10">
        <f>'Timeline (5W1H)'!$B$8+(G13-1)*10/1440</f>
        <v/>
      </c>
      <c r="I13" s="3">
        <f>H13+10/1440</f>
        <v/>
      </c>
      <c r="J13" s="28">
        <f>IF(INDEX('Nhập kết quả'!$I:$I,MATCH(A13,'Nhập kết quả'!$A:$A,0))="","Chưa đấu","Đã đấu xong")</f>
        <v/>
      </c>
      <c r="K13" s="28">
        <f>INDEX('Nhập kết quả'!$I:$I,MATCH(A13,'Nhập kết quả'!$A:$A,0))</f>
        <v/>
      </c>
      <c r="L13" s="28">
        <f>INDEX('Nhập kết quả'!$L:$L,MATCH(A13,'Nhập kết quả'!$A:$A,0))</f>
        <v/>
      </c>
    </row>
    <row r="14" ht="15" customHeight="1" s="31">
      <c r="A14" s="2" t="n">
        <v>2</v>
      </c>
      <c r="B14" s="2" t="inlineStr">
        <is>
          <t>Bóng né</t>
        </is>
      </c>
      <c r="C14" s="2" t="inlineStr">
        <is>
          <t>Vòng bảng — Bảng B (vòng 1)</t>
        </is>
      </c>
      <c r="D14" s="4" t="inlineStr">
        <is>
          <t>Sân 2</t>
        </is>
      </c>
      <c r="E14" s="2">
        <f>B7</f>
        <v/>
      </c>
      <c r="F14" s="2">
        <f>C7</f>
        <v/>
      </c>
      <c r="G14" s="9" t="n">
        <v>1</v>
      </c>
      <c r="H14" s="10">
        <f>'Timeline (5W1H)'!$B$8+(G14-1)*10/1440</f>
        <v/>
      </c>
      <c r="I14" s="3">
        <f>H14+10/1440</f>
        <v/>
      </c>
      <c r="J14" s="28">
        <f>IF(INDEX('Nhập kết quả'!$I:$I,MATCH(A14,'Nhập kết quả'!$A:$A,0))="","Chưa đấu","Đã đấu xong")</f>
        <v/>
      </c>
      <c r="K14" s="28">
        <f>INDEX('Nhập kết quả'!$I:$I,MATCH(A14,'Nhập kết quả'!$A:$A,0))</f>
        <v/>
      </c>
      <c r="L14" s="28">
        <f>INDEX('Nhập kết quả'!$L:$L,MATCH(A14,'Nhập kết quả'!$A:$A,0))</f>
        <v/>
      </c>
    </row>
    <row r="15" ht="15" customHeight="1" s="31">
      <c r="A15" s="2" t="n">
        <v>3</v>
      </c>
      <c r="B15" s="2" t="inlineStr">
        <is>
          <t>Bóng né</t>
        </is>
      </c>
      <c r="C15" s="2" t="inlineStr">
        <is>
          <t>Vòng bảng — Bảng C (vòng 1)</t>
        </is>
      </c>
      <c r="D15" s="4" t="inlineStr">
        <is>
          <t>Sân 3</t>
        </is>
      </c>
      <c r="E15" s="2">
        <f>B8</f>
        <v/>
      </c>
      <c r="F15" s="2">
        <f>C8</f>
        <v/>
      </c>
      <c r="G15" s="9" t="n">
        <v>1</v>
      </c>
      <c r="H15" s="10">
        <f>'Timeline (5W1H)'!$B$8+(G15-1)*10/1440</f>
        <v/>
      </c>
      <c r="I15" s="3">
        <f>H15+10/1440</f>
        <v/>
      </c>
      <c r="J15" s="28">
        <f>IF(INDEX('Nhập kết quả'!$I:$I,MATCH(A15,'Nhập kết quả'!$A:$A,0))="","Chưa đấu","Đã đấu xong")</f>
        <v/>
      </c>
      <c r="K15" s="28">
        <f>INDEX('Nhập kết quả'!$I:$I,MATCH(A15,'Nhập kết quả'!$A:$A,0))</f>
        <v/>
      </c>
      <c r="L15" s="28">
        <f>INDEX('Nhập kết quả'!$L:$L,MATCH(A15,'Nhập kết quả'!$A:$A,0))</f>
        <v/>
      </c>
    </row>
    <row r="16" ht="15" customHeight="1" s="31">
      <c r="A16" s="2" t="n">
        <v>4</v>
      </c>
      <c r="B16" s="2" t="inlineStr">
        <is>
          <t>Bóng né</t>
        </is>
      </c>
      <c r="C16" s="2" t="inlineStr">
        <is>
          <t>Vòng bảng — Bảng D (vòng 1)</t>
        </is>
      </c>
      <c r="D16" s="4" t="inlineStr">
        <is>
          <t>Sân 4</t>
        </is>
      </c>
      <c r="E16" s="2">
        <f>B9</f>
        <v/>
      </c>
      <c r="F16" s="2">
        <f>C9</f>
        <v/>
      </c>
      <c r="G16" s="9" t="n">
        <v>1</v>
      </c>
      <c r="H16" s="10">
        <f>'Timeline (5W1H)'!$B$8+(G16-1)*10/1440</f>
        <v/>
      </c>
      <c r="I16" s="3">
        <f>H16+10/1440</f>
        <v/>
      </c>
      <c r="J16" s="28">
        <f>IF(INDEX('Nhập kết quả'!$I:$I,MATCH(A16,'Nhập kết quả'!$A:$A,0))="","Chưa đấu","Đã đấu xong")</f>
        <v/>
      </c>
      <c r="K16" s="28">
        <f>INDEX('Nhập kết quả'!$I:$I,MATCH(A16,'Nhập kết quả'!$A:$A,0))</f>
        <v/>
      </c>
      <c r="L16" s="28">
        <f>INDEX('Nhập kết quả'!$L:$L,MATCH(A16,'Nhập kết quả'!$A:$A,0))</f>
        <v/>
      </c>
    </row>
    <row r="17" ht="15" customHeight="1" s="31">
      <c r="A17" s="2" t="n">
        <v>5</v>
      </c>
      <c r="B17" s="2" t="inlineStr">
        <is>
          <t>Bóng né</t>
        </is>
      </c>
      <c r="C17" s="2" t="inlineStr">
        <is>
          <t>Vòng bảng — Bảng A (vòng 2)</t>
        </is>
      </c>
      <c r="D17" s="4" t="inlineStr">
        <is>
          <t>Sân 1</t>
        </is>
      </c>
      <c r="E17" s="2">
        <f>B6</f>
        <v/>
      </c>
      <c r="F17" s="2">
        <f>D6</f>
        <v/>
      </c>
      <c r="G17" s="9" t="n">
        <v>2</v>
      </c>
      <c r="H17" s="10">
        <f>'Timeline (5W1H)'!$B$8+(G17-1)*10/1440</f>
        <v/>
      </c>
      <c r="I17" s="3">
        <f>H17+10/1440</f>
        <v/>
      </c>
      <c r="J17" s="28">
        <f>IF(INDEX('Nhập kết quả'!$I:$I,MATCH(A17,'Nhập kết quả'!$A:$A,0))="","Chưa đấu","Đã đấu xong")</f>
        <v/>
      </c>
      <c r="K17" s="28">
        <f>INDEX('Nhập kết quả'!$I:$I,MATCH(A17,'Nhập kết quả'!$A:$A,0))</f>
        <v/>
      </c>
      <c r="L17" s="28">
        <f>INDEX('Nhập kết quả'!$L:$L,MATCH(A17,'Nhập kết quả'!$A:$A,0))</f>
        <v/>
      </c>
    </row>
    <row r="18" ht="15" customHeight="1" s="31">
      <c r="A18" s="2" t="n">
        <v>6</v>
      </c>
      <c r="B18" s="2" t="inlineStr">
        <is>
          <t>Bóng né</t>
        </is>
      </c>
      <c r="C18" s="2" t="inlineStr">
        <is>
          <t>Vòng bảng — Bảng B (vòng 2)</t>
        </is>
      </c>
      <c r="D18" s="4" t="inlineStr">
        <is>
          <t>Sân 2</t>
        </is>
      </c>
      <c r="E18" s="2">
        <f>B7</f>
        <v/>
      </c>
      <c r="F18" s="2">
        <f>D7</f>
        <v/>
      </c>
      <c r="G18" s="9" t="n">
        <v>2</v>
      </c>
      <c r="H18" s="10">
        <f>'Timeline (5W1H)'!$B$8+(G18-1)*10/1440</f>
        <v/>
      </c>
      <c r="I18" s="3">
        <f>H18+10/1440</f>
        <v/>
      </c>
      <c r="J18" s="28">
        <f>IF(INDEX('Nhập kết quả'!$I:$I,MATCH(A18,'Nhập kết quả'!$A:$A,0))="","Chưa đấu","Đã đấu xong")</f>
        <v/>
      </c>
      <c r="K18" s="28">
        <f>INDEX('Nhập kết quả'!$I:$I,MATCH(A18,'Nhập kết quả'!$A:$A,0))</f>
        <v/>
      </c>
      <c r="L18" s="28">
        <f>INDEX('Nhập kết quả'!$L:$L,MATCH(A18,'Nhập kết quả'!$A:$A,0))</f>
        <v/>
      </c>
    </row>
    <row r="19" ht="15" customHeight="1" s="31">
      <c r="A19" s="2" t="n">
        <v>7</v>
      </c>
      <c r="B19" s="2" t="inlineStr">
        <is>
          <t>Bóng né</t>
        </is>
      </c>
      <c r="C19" s="2" t="inlineStr">
        <is>
          <t>Vòng bảng — Bảng C (vòng 2)</t>
        </is>
      </c>
      <c r="D19" s="4" t="inlineStr">
        <is>
          <t>Sân 3</t>
        </is>
      </c>
      <c r="E19" s="2">
        <f>B8</f>
        <v/>
      </c>
      <c r="F19" s="2">
        <f>D8</f>
        <v/>
      </c>
      <c r="G19" s="9" t="n">
        <v>2</v>
      </c>
      <c r="H19" s="10">
        <f>'Timeline (5W1H)'!$B$8+(G19-1)*10/1440</f>
        <v/>
      </c>
      <c r="I19" s="3">
        <f>H19+10/1440</f>
        <v/>
      </c>
      <c r="J19" s="28">
        <f>IF(INDEX('Nhập kết quả'!$I:$I,MATCH(A19,'Nhập kết quả'!$A:$A,0))="","Chưa đấu","Đã đấu xong")</f>
        <v/>
      </c>
      <c r="K19" s="28">
        <f>INDEX('Nhập kết quả'!$I:$I,MATCH(A19,'Nhập kết quả'!$A:$A,0))</f>
        <v/>
      </c>
      <c r="L19" s="28">
        <f>INDEX('Nhập kết quả'!$L:$L,MATCH(A19,'Nhập kết quả'!$A:$A,0))</f>
        <v/>
      </c>
    </row>
    <row r="20" ht="15" customHeight="1" s="31">
      <c r="A20" s="2" t="n">
        <v>8</v>
      </c>
      <c r="B20" s="2" t="inlineStr">
        <is>
          <t>Bóng né</t>
        </is>
      </c>
      <c r="C20" s="2" t="inlineStr">
        <is>
          <t>Vòng bảng — Bảng D (vòng 2)</t>
        </is>
      </c>
      <c r="D20" s="4" t="inlineStr">
        <is>
          <t>Sân 4</t>
        </is>
      </c>
      <c r="E20" s="2">
        <f>B9</f>
        <v/>
      </c>
      <c r="F20" s="2">
        <f>D9</f>
        <v/>
      </c>
      <c r="G20" s="9" t="n">
        <v>2</v>
      </c>
      <c r="H20" s="10">
        <f>'Timeline (5W1H)'!$B$8+(G20-1)*10/1440</f>
        <v/>
      </c>
      <c r="I20" s="3">
        <f>H20+10/1440</f>
        <v/>
      </c>
      <c r="J20" s="28">
        <f>IF(INDEX('Nhập kết quả'!$I:$I,MATCH(A20,'Nhập kết quả'!$A:$A,0))="","Chưa đấu","Đã đấu xong")</f>
        <v/>
      </c>
      <c r="K20" s="28">
        <f>INDEX('Nhập kết quả'!$I:$I,MATCH(A20,'Nhập kết quả'!$A:$A,0))</f>
        <v/>
      </c>
      <c r="L20" s="28">
        <f>INDEX('Nhập kết quả'!$L:$L,MATCH(A20,'Nhập kết quả'!$A:$A,0))</f>
        <v/>
      </c>
    </row>
    <row r="21" ht="15" customHeight="1" s="31">
      <c r="A21" s="2" t="n">
        <v>9</v>
      </c>
      <c r="B21" s="2" t="inlineStr">
        <is>
          <t>Bóng né</t>
        </is>
      </c>
      <c r="C21" s="2" t="inlineStr">
        <is>
          <t>Vòng bảng — Bảng A (vòng 3)</t>
        </is>
      </c>
      <c r="D21" s="4" t="inlineStr">
        <is>
          <t>Sân 1</t>
        </is>
      </c>
      <c r="E21" s="2">
        <f>C6</f>
        <v/>
      </c>
      <c r="F21" s="2">
        <f>D6</f>
        <v/>
      </c>
      <c r="G21" s="9" t="n">
        <v>3</v>
      </c>
      <c r="H21" s="10">
        <f>'Timeline (5W1H)'!$B$8+(G21-1)*10/1440</f>
        <v/>
      </c>
      <c r="I21" s="3">
        <f>H21+10/1440</f>
        <v/>
      </c>
      <c r="J21" s="28">
        <f>IF(INDEX('Nhập kết quả'!$I:$I,MATCH(A21,'Nhập kết quả'!$A:$A,0))="","Chưa đấu","Đã đấu xong")</f>
        <v/>
      </c>
      <c r="K21" s="28">
        <f>INDEX('Nhập kết quả'!$I:$I,MATCH(A21,'Nhập kết quả'!$A:$A,0))</f>
        <v/>
      </c>
      <c r="L21" s="28">
        <f>INDEX('Nhập kết quả'!$L:$L,MATCH(A21,'Nhập kết quả'!$A:$A,0))</f>
        <v/>
      </c>
    </row>
    <row r="22" ht="15" customHeight="1" s="31">
      <c r="A22" s="2" t="n">
        <v>10</v>
      </c>
      <c r="B22" s="2" t="inlineStr">
        <is>
          <t>Bóng né</t>
        </is>
      </c>
      <c r="C22" s="2" t="inlineStr">
        <is>
          <t>Vòng bảng — Bảng B (vòng 3)</t>
        </is>
      </c>
      <c r="D22" s="4" t="inlineStr">
        <is>
          <t>Sân 2</t>
        </is>
      </c>
      <c r="E22" s="2">
        <f>C7</f>
        <v/>
      </c>
      <c r="F22" s="2">
        <f>D7</f>
        <v/>
      </c>
      <c r="G22" s="9" t="n">
        <v>3</v>
      </c>
      <c r="H22" s="10">
        <f>'Timeline (5W1H)'!$B$8+(G22-1)*10/1440</f>
        <v/>
      </c>
      <c r="I22" s="3">
        <f>H22+10/1440</f>
        <v/>
      </c>
      <c r="J22" s="28">
        <f>IF(INDEX('Nhập kết quả'!$I:$I,MATCH(A22,'Nhập kết quả'!$A:$A,0))="","Chưa đấu","Đã đấu xong")</f>
        <v/>
      </c>
      <c r="K22" s="28">
        <f>INDEX('Nhập kết quả'!$I:$I,MATCH(A22,'Nhập kết quả'!$A:$A,0))</f>
        <v/>
      </c>
      <c r="L22" s="28">
        <f>INDEX('Nhập kết quả'!$L:$L,MATCH(A22,'Nhập kết quả'!$A:$A,0))</f>
        <v/>
      </c>
    </row>
    <row r="23" ht="15" customHeight="1" s="31">
      <c r="A23" s="2" t="n">
        <v>11</v>
      </c>
      <c r="B23" s="2" t="inlineStr">
        <is>
          <t>Bóng né</t>
        </is>
      </c>
      <c r="C23" s="2" t="inlineStr">
        <is>
          <t>Vòng bảng — Bảng C (vòng 3)</t>
        </is>
      </c>
      <c r="D23" s="4" t="inlineStr">
        <is>
          <t>Sân 3</t>
        </is>
      </c>
      <c r="E23" s="2">
        <f>C8</f>
        <v/>
      </c>
      <c r="F23" s="2">
        <f>D8</f>
        <v/>
      </c>
      <c r="G23" s="9" t="n">
        <v>3</v>
      </c>
      <c r="H23" s="10">
        <f>'Timeline (5W1H)'!$B$8+(G23-1)*10/1440</f>
        <v/>
      </c>
      <c r="I23" s="3">
        <f>H23+10/1440</f>
        <v/>
      </c>
      <c r="J23" s="28">
        <f>IF(INDEX('Nhập kết quả'!$I:$I,MATCH(A23,'Nhập kết quả'!$A:$A,0))="","Chưa đấu","Đã đấu xong")</f>
        <v/>
      </c>
      <c r="K23" s="28">
        <f>INDEX('Nhập kết quả'!$I:$I,MATCH(A23,'Nhập kết quả'!$A:$A,0))</f>
        <v/>
      </c>
      <c r="L23" s="28">
        <f>INDEX('Nhập kết quả'!$L:$L,MATCH(A23,'Nhập kết quả'!$A:$A,0))</f>
        <v/>
      </c>
    </row>
    <row r="24" ht="15" customHeight="1" s="31">
      <c r="A24" s="2" t="n">
        <v>12</v>
      </c>
      <c r="B24" s="2" t="inlineStr">
        <is>
          <t>Bóng né</t>
        </is>
      </c>
      <c r="C24" s="2" t="inlineStr">
        <is>
          <t>Vòng bảng — Bảng D (vòng 3)</t>
        </is>
      </c>
      <c r="D24" s="4" t="inlineStr">
        <is>
          <t>Sân 4</t>
        </is>
      </c>
      <c r="E24" s="2">
        <f>C9</f>
        <v/>
      </c>
      <c r="F24" s="2">
        <f>D9</f>
        <v/>
      </c>
      <c r="G24" s="9" t="n">
        <v>3</v>
      </c>
      <c r="H24" s="10">
        <f>'Timeline (5W1H)'!$B$8+(G24-1)*10/1440</f>
        <v/>
      </c>
      <c r="I24" s="3">
        <f>H24+10/1440</f>
        <v/>
      </c>
      <c r="J24" s="28">
        <f>IF(INDEX('Nhập kết quả'!$I:$I,MATCH(A24,'Nhập kết quả'!$A:$A,0))="","Chưa đấu","Đã đấu xong")</f>
        <v/>
      </c>
      <c r="K24" s="28">
        <f>INDEX('Nhập kết quả'!$I:$I,MATCH(A24,'Nhập kết quả'!$A:$A,0))</f>
        <v/>
      </c>
      <c r="L24" s="28">
        <f>INDEX('Nhập kết quả'!$L:$L,MATCH(A24,'Nhập kết quả'!$A:$A,0))</f>
        <v/>
      </c>
    </row>
    <row r="25" ht="15" customHeight="1" s="31">
      <c r="A25" s="2" t="n">
        <v>13</v>
      </c>
      <c r="B25" s="2" t="inlineStr">
        <is>
          <t>Kéo co</t>
        </is>
      </c>
      <c r="C25" s="2" t="inlineStr">
        <is>
          <t>Vòng bảng — Bảng A (vòng 1)</t>
        </is>
      </c>
      <c r="D25" s="4" t="inlineStr">
        <is>
          <t>Dây 1</t>
        </is>
      </c>
      <c r="E25" s="2">
        <f>B6</f>
        <v/>
      </c>
      <c r="F25" s="2">
        <f>C6</f>
        <v/>
      </c>
      <c r="G25" s="9" t="n">
        <v>1</v>
      </c>
      <c r="H25" s="10">
        <f>'Timeline (5W1H)'!$B$12+(G25-1)*10/1440</f>
        <v/>
      </c>
      <c r="I25" s="3">
        <f>H25+10/1440</f>
        <v/>
      </c>
      <c r="J25" s="28">
        <f>IF(INDEX('Nhập kết quả'!$I:$I,MATCH(A25,'Nhập kết quả'!$A:$A,0))="","Chưa đấu","Đã đấu xong")</f>
        <v/>
      </c>
      <c r="K25" s="28">
        <f>INDEX('Nhập kết quả'!$I:$I,MATCH(A25,'Nhập kết quả'!$A:$A,0))</f>
        <v/>
      </c>
      <c r="L25" s="28">
        <f>INDEX('Nhập kết quả'!$L:$L,MATCH(A25,'Nhập kết quả'!$A:$A,0))</f>
        <v/>
      </c>
    </row>
    <row r="26" ht="15" customHeight="1" s="31">
      <c r="A26" s="2" t="n">
        <v>14</v>
      </c>
      <c r="B26" s="2" t="inlineStr">
        <is>
          <t>Kéo co</t>
        </is>
      </c>
      <c r="C26" s="2" t="inlineStr">
        <is>
          <t>Vòng bảng — Bảng B (vòng 1)</t>
        </is>
      </c>
      <c r="D26" s="4" t="inlineStr">
        <is>
          <t>Dây 2</t>
        </is>
      </c>
      <c r="E26" s="2">
        <f>B7</f>
        <v/>
      </c>
      <c r="F26" s="2">
        <f>C7</f>
        <v/>
      </c>
      <c r="G26" s="9" t="n">
        <v>1</v>
      </c>
      <c r="H26" s="10">
        <f>'Timeline (5W1H)'!$B$12+(G26-1)*10/1440</f>
        <v/>
      </c>
      <c r="I26" s="3">
        <f>H26+10/1440</f>
        <v/>
      </c>
      <c r="J26" s="28">
        <f>IF(INDEX('Nhập kết quả'!$I:$I,MATCH(A26,'Nhập kết quả'!$A:$A,0))="","Chưa đấu","Đã đấu xong")</f>
        <v/>
      </c>
      <c r="K26" s="28">
        <f>INDEX('Nhập kết quả'!$I:$I,MATCH(A26,'Nhập kết quả'!$A:$A,0))</f>
        <v/>
      </c>
      <c r="L26" s="28">
        <f>INDEX('Nhập kết quả'!$L:$L,MATCH(A26,'Nhập kết quả'!$A:$A,0))</f>
        <v/>
      </c>
    </row>
    <row r="27" ht="15" customHeight="1" s="31">
      <c r="A27" s="2" t="n">
        <v>15</v>
      </c>
      <c r="B27" s="2" t="inlineStr">
        <is>
          <t>Kéo co</t>
        </is>
      </c>
      <c r="C27" s="2" t="inlineStr">
        <is>
          <t>Vòng bảng — Bảng C (vòng 1)</t>
        </is>
      </c>
      <c r="D27" s="4" t="inlineStr">
        <is>
          <t>Dây 3</t>
        </is>
      </c>
      <c r="E27" s="2">
        <f>B8</f>
        <v/>
      </c>
      <c r="F27" s="2">
        <f>C8</f>
        <v/>
      </c>
      <c r="G27" s="9" t="n">
        <v>1</v>
      </c>
      <c r="H27" s="10">
        <f>'Timeline (5W1H)'!$B$12+(G27-1)*10/1440</f>
        <v/>
      </c>
      <c r="I27" s="3">
        <f>H27+10/1440</f>
        <v/>
      </c>
      <c r="J27" s="28">
        <f>IF(INDEX('Nhập kết quả'!$I:$I,MATCH(A27,'Nhập kết quả'!$A:$A,0))="","Chưa đấu","Đã đấu xong")</f>
        <v/>
      </c>
      <c r="K27" s="28">
        <f>INDEX('Nhập kết quả'!$I:$I,MATCH(A27,'Nhập kết quả'!$A:$A,0))</f>
        <v/>
      </c>
      <c r="L27" s="28">
        <f>INDEX('Nhập kết quả'!$L:$L,MATCH(A27,'Nhập kết quả'!$A:$A,0))</f>
        <v/>
      </c>
    </row>
    <row r="28" ht="15" customHeight="1" s="31">
      <c r="A28" s="2" t="n">
        <v>16</v>
      </c>
      <c r="B28" s="2" t="inlineStr">
        <is>
          <t>Kéo co</t>
        </is>
      </c>
      <c r="C28" s="2" t="inlineStr">
        <is>
          <t>Vòng bảng — Bảng D (vòng 1)</t>
        </is>
      </c>
      <c r="D28" s="4" t="inlineStr">
        <is>
          <t>Dây 1</t>
        </is>
      </c>
      <c r="E28" s="2">
        <f>B9</f>
        <v/>
      </c>
      <c r="F28" s="2">
        <f>C9</f>
        <v/>
      </c>
      <c r="G28" s="9" t="n">
        <v>2</v>
      </c>
      <c r="H28" s="10">
        <f>'Timeline (5W1H)'!$B$12+(G28-1)*10/1440</f>
        <v/>
      </c>
      <c r="I28" s="3">
        <f>H28+10/1440</f>
        <v/>
      </c>
      <c r="J28" s="28">
        <f>IF(INDEX('Nhập kết quả'!$I:$I,MATCH(A28,'Nhập kết quả'!$A:$A,0))="","Chưa đấu","Đã đấu xong")</f>
        <v/>
      </c>
      <c r="K28" s="28">
        <f>INDEX('Nhập kết quả'!$I:$I,MATCH(A28,'Nhập kết quả'!$A:$A,0))</f>
        <v/>
      </c>
      <c r="L28" s="28">
        <f>INDEX('Nhập kết quả'!$L:$L,MATCH(A28,'Nhập kết quả'!$A:$A,0))</f>
        <v/>
      </c>
    </row>
    <row r="29" ht="15" customHeight="1" s="31">
      <c r="A29" s="2" t="n">
        <v>17</v>
      </c>
      <c r="B29" s="2" t="inlineStr">
        <is>
          <t>Kéo co</t>
        </is>
      </c>
      <c r="C29" s="2" t="inlineStr">
        <is>
          <t>Vòng bảng — Bảng A (vòng 2)</t>
        </is>
      </c>
      <c r="D29" s="4" t="inlineStr">
        <is>
          <t>Dây 2</t>
        </is>
      </c>
      <c r="E29" s="2">
        <f>B6</f>
        <v/>
      </c>
      <c r="F29" s="2">
        <f>D6</f>
        <v/>
      </c>
      <c r="G29" s="9" t="n">
        <v>2</v>
      </c>
      <c r="H29" s="10">
        <f>'Timeline (5W1H)'!$B$12+(G29-1)*10/1440</f>
        <v/>
      </c>
      <c r="I29" s="3">
        <f>H29+10/1440</f>
        <v/>
      </c>
      <c r="J29" s="28">
        <f>IF(INDEX('Nhập kết quả'!$I:$I,MATCH(A29,'Nhập kết quả'!$A:$A,0))="","Chưa đấu","Đã đấu xong")</f>
        <v/>
      </c>
      <c r="K29" s="28">
        <f>INDEX('Nhập kết quả'!$I:$I,MATCH(A29,'Nhập kết quả'!$A:$A,0))</f>
        <v/>
      </c>
      <c r="L29" s="28">
        <f>INDEX('Nhập kết quả'!$L:$L,MATCH(A29,'Nhập kết quả'!$A:$A,0))</f>
        <v/>
      </c>
    </row>
    <row r="30" ht="15" customHeight="1" s="31">
      <c r="A30" s="2" t="n">
        <v>18</v>
      </c>
      <c r="B30" s="2" t="inlineStr">
        <is>
          <t>Kéo co</t>
        </is>
      </c>
      <c r="C30" s="2" t="inlineStr">
        <is>
          <t>Vòng bảng — Bảng B (vòng 2)</t>
        </is>
      </c>
      <c r="D30" s="4" t="inlineStr">
        <is>
          <t>Dây 3</t>
        </is>
      </c>
      <c r="E30" s="2">
        <f>B7</f>
        <v/>
      </c>
      <c r="F30" s="2">
        <f>D7</f>
        <v/>
      </c>
      <c r="G30" s="9" t="n">
        <v>2</v>
      </c>
      <c r="H30" s="10">
        <f>'Timeline (5W1H)'!$B$12+(G30-1)*10/1440</f>
        <v/>
      </c>
      <c r="I30" s="3">
        <f>H30+10/1440</f>
        <v/>
      </c>
      <c r="J30" s="28">
        <f>IF(INDEX('Nhập kết quả'!$I:$I,MATCH(A30,'Nhập kết quả'!$A:$A,0))="","Chưa đấu","Đã đấu xong")</f>
        <v/>
      </c>
      <c r="K30" s="28">
        <f>INDEX('Nhập kết quả'!$I:$I,MATCH(A30,'Nhập kết quả'!$A:$A,0))</f>
        <v/>
      </c>
      <c r="L30" s="28">
        <f>INDEX('Nhập kết quả'!$L:$L,MATCH(A30,'Nhập kết quả'!$A:$A,0))</f>
        <v/>
      </c>
    </row>
    <row r="31" ht="15" customHeight="1" s="31">
      <c r="A31" s="2" t="n">
        <v>19</v>
      </c>
      <c r="B31" s="2" t="inlineStr">
        <is>
          <t>Kéo co</t>
        </is>
      </c>
      <c r="C31" s="2" t="inlineStr">
        <is>
          <t>Vòng bảng — Bảng C (vòng 2)</t>
        </is>
      </c>
      <c r="D31" s="4" t="inlineStr">
        <is>
          <t>Dây 1</t>
        </is>
      </c>
      <c r="E31" s="2">
        <f>B8</f>
        <v/>
      </c>
      <c r="F31" s="2">
        <f>D8</f>
        <v/>
      </c>
      <c r="G31" s="9" t="n">
        <v>3</v>
      </c>
      <c r="H31" s="10">
        <f>'Timeline (5W1H)'!$B$12+(G31-1)*10/1440</f>
        <v/>
      </c>
      <c r="I31" s="3">
        <f>H31+10/1440</f>
        <v/>
      </c>
      <c r="J31" s="28">
        <f>IF(INDEX('Nhập kết quả'!$I:$I,MATCH(A31,'Nhập kết quả'!$A:$A,0))="","Chưa đấu","Đã đấu xong")</f>
        <v/>
      </c>
      <c r="K31" s="28">
        <f>INDEX('Nhập kết quả'!$I:$I,MATCH(A31,'Nhập kết quả'!$A:$A,0))</f>
        <v/>
      </c>
      <c r="L31" s="28">
        <f>INDEX('Nhập kết quả'!$L:$L,MATCH(A31,'Nhập kết quả'!$A:$A,0))</f>
        <v/>
      </c>
    </row>
    <row r="32" ht="15" customHeight="1" s="31">
      <c r="A32" s="2" t="n">
        <v>20</v>
      </c>
      <c r="B32" s="2" t="inlineStr">
        <is>
          <t>Kéo co</t>
        </is>
      </c>
      <c r="C32" s="2" t="inlineStr">
        <is>
          <t>Vòng bảng — Bảng D (vòng 2)</t>
        </is>
      </c>
      <c r="D32" s="4" t="inlineStr">
        <is>
          <t>Dây 2</t>
        </is>
      </c>
      <c r="E32" s="2">
        <f>B9</f>
        <v/>
      </c>
      <c r="F32" s="2">
        <f>D9</f>
        <v/>
      </c>
      <c r="G32" s="9" t="n">
        <v>3</v>
      </c>
      <c r="H32" s="10">
        <f>'Timeline (5W1H)'!$B$12+(G32-1)*10/1440</f>
        <v/>
      </c>
      <c r="I32" s="3">
        <f>H32+10/1440</f>
        <v/>
      </c>
      <c r="J32" s="28">
        <f>IF(INDEX('Nhập kết quả'!$I:$I,MATCH(A32,'Nhập kết quả'!$A:$A,0))="","Chưa đấu","Đã đấu xong")</f>
        <v/>
      </c>
      <c r="K32" s="28">
        <f>INDEX('Nhập kết quả'!$I:$I,MATCH(A32,'Nhập kết quả'!$A:$A,0))</f>
        <v/>
      </c>
      <c r="L32" s="28">
        <f>INDEX('Nhập kết quả'!$L:$L,MATCH(A32,'Nhập kết quả'!$A:$A,0))</f>
        <v/>
      </c>
    </row>
    <row r="33" ht="15" customHeight="1" s="31">
      <c r="A33" s="2" t="n">
        <v>21</v>
      </c>
      <c r="B33" s="2" t="inlineStr">
        <is>
          <t>Kéo co</t>
        </is>
      </c>
      <c r="C33" s="2" t="inlineStr">
        <is>
          <t>Vòng bảng — Bảng A (vòng 3)</t>
        </is>
      </c>
      <c r="D33" s="4" t="inlineStr">
        <is>
          <t>Dây 3</t>
        </is>
      </c>
      <c r="E33" s="2">
        <f>C6</f>
        <v/>
      </c>
      <c r="F33" s="2">
        <f>D6</f>
        <v/>
      </c>
      <c r="G33" s="9" t="n">
        <v>3</v>
      </c>
      <c r="H33" s="10">
        <f>'Timeline (5W1H)'!$B$12+(G33-1)*10/1440</f>
        <v/>
      </c>
      <c r="I33" s="3">
        <f>H33+10/1440</f>
        <v/>
      </c>
      <c r="J33" s="28">
        <f>IF(INDEX('Nhập kết quả'!$I:$I,MATCH(A33,'Nhập kết quả'!$A:$A,0))="","Chưa đấu","Đã đấu xong")</f>
        <v/>
      </c>
      <c r="K33" s="28">
        <f>INDEX('Nhập kết quả'!$I:$I,MATCH(A33,'Nhập kết quả'!$A:$A,0))</f>
        <v/>
      </c>
      <c r="L33" s="28">
        <f>INDEX('Nhập kết quả'!$L:$L,MATCH(A33,'Nhập kết quả'!$A:$A,0))</f>
        <v/>
      </c>
    </row>
    <row r="34" ht="15" customHeight="1" s="31">
      <c r="A34" s="2" t="n">
        <v>22</v>
      </c>
      <c r="B34" s="2" t="inlineStr">
        <is>
          <t>Kéo co</t>
        </is>
      </c>
      <c r="C34" s="2" t="inlineStr">
        <is>
          <t>Vòng bảng — Bảng B (vòng 3)</t>
        </is>
      </c>
      <c r="D34" s="4" t="inlineStr">
        <is>
          <t>Dây 1</t>
        </is>
      </c>
      <c r="E34" s="2">
        <f>C7</f>
        <v/>
      </c>
      <c r="F34" s="2">
        <f>D7</f>
        <v/>
      </c>
      <c r="G34" s="9" t="n">
        <v>4</v>
      </c>
      <c r="H34" s="10">
        <f>'Timeline (5W1H)'!$B$12+(G34-1)*10/1440</f>
        <v/>
      </c>
      <c r="I34" s="3">
        <f>H34+10/1440</f>
        <v/>
      </c>
      <c r="J34" s="28">
        <f>IF(INDEX('Nhập kết quả'!$I:$I,MATCH(A34,'Nhập kết quả'!$A:$A,0))="","Chưa đấu","Đã đấu xong")</f>
        <v/>
      </c>
      <c r="K34" s="28">
        <f>INDEX('Nhập kết quả'!$I:$I,MATCH(A34,'Nhập kết quả'!$A:$A,0))</f>
        <v/>
      </c>
      <c r="L34" s="28">
        <f>INDEX('Nhập kết quả'!$L:$L,MATCH(A34,'Nhập kết quả'!$A:$A,0))</f>
        <v/>
      </c>
    </row>
    <row r="35" ht="15" customHeight="1" s="31">
      <c r="A35" s="2" t="n">
        <v>23</v>
      </c>
      <c r="B35" s="2" t="inlineStr">
        <is>
          <t>Kéo co</t>
        </is>
      </c>
      <c r="C35" s="2" t="inlineStr">
        <is>
          <t>Vòng bảng — Bảng C (vòng 3)</t>
        </is>
      </c>
      <c r="D35" s="4" t="inlineStr">
        <is>
          <t>Dây 2</t>
        </is>
      </c>
      <c r="E35" s="2">
        <f>C8</f>
        <v/>
      </c>
      <c r="F35" s="2">
        <f>D8</f>
        <v/>
      </c>
      <c r="G35" s="9" t="n">
        <v>4</v>
      </c>
      <c r="H35" s="10">
        <f>'Timeline (5W1H)'!$B$12+(G35-1)*10/1440</f>
        <v/>
      </c>
      <c r="I35" s="3">
        <f>H35+10/1440</f>
        <v/>
      </c>
      <c r="J35" s="28">
        <f>IF(INDEX('Nhập kết quả'!$I:$I,MATCH(A35,'Nhập kết quả'!$A:$A,0))="","Chưa đấu","Đã đấu xong")</f>
        <v/>
      </c>
      <c r="K35" s="28">
        <f>INDEX('Nhập kết quả'!$I:$I,MATCH(A35,'Nhập kết quả'!$A:$A,0))</f>
        <v/>
      </c>
      <c r="L35" s="28">
        <f>INDEX('Nhập kết quả'!$L:$L,MATCH(A35,'Nhập kết quả'!$A:$A,0))</f>
        <v/>
      </c>
    </row>
    <row r="36" ht="15" customHeight="1" s="31">
      <c r="A36" s="2" t="n">
        <v>24</v>
      </c>
      <c r="B36" s="2" t="inlineStr">
        <is>
          <t>Kéo co</t>
        </is>
      </c>
      <c r="C36" s="2" t="inlineStr">
        <is>
          <t>Vòng bảng — Bảng D (vòng 3)</t>
        </is>
      </c>
      <c r="D36" s="4" t="inlineStr">
        <is>
          <t>Dây 3</t>
        </is>
      </c>
      <c r="E36" s="2">
        <f>C9</f>
        <v/>
      </c>
      <c r="F36" s="2">
        <f>D9</f>
        <v/>
      </c>
      <c r="G36" s="9" t="n">
        <v>4</v>
      </c>
      <c r="H36" s="10">
        <f>'Timeline (5W1H)'!$B$12+(G36-1)*10/1440</f>
        <v/>
      </c>
      <c r="I36" s="3">
        <f>H36+10/1440</f>
        <v/>
      </c>
      <c r="J36" s="28">
        <f>IF(INDEX('Nhập kết quả'!$I:$I,MATCH(A36,'Nhập kết quả'!$A:$A,0))="","Chưa đấu","Đã đấu xong")</f>
        <v/>
      </c>
      <c r="K36" s="28">
        <f>INDEX('Nhập kết quả'!$I:$I,MATCH(A36,'Nhập kết quả'!$A:$A,0))</f>
        <v/>
      </c>
      <c r="L36" s="28">
        <f>INDEX('Nhập kết quả'!$L:$L,MATCH(A36,'Nhập kết quả'!$A:$A,0))</f>
        <v/>
      </c>
    </row>
    <row r="37" ht="15" customHeight="1" s="31">
      <c r="A37" s="2" t="n">
        <v>25</v>
      </c>
      <c r="B37" s="2" t="inlineStr">
        <is>
          <t>Bóng né</t>
        </is>
      </c>
      <c r="C37" s="8" t="inlineStr">
        <is>
          <t>Bán kết 1</t>
        </is>
      </c>
      <c r="D37" s="4" t="inlineStr">
        <is>
          <t>Sân 1</t>
        </is>
      </c>
      <c r="E37" s="11">
        <f>INDEX('Tổng kết'!$C$6:$C$8,MATCH(1,'Tổng kết'!$I$6:$I$8,0))</f>
        <v/>
      </c>
      <c r="F37" s="11">
        <f>INDEX('Tổng kết'!$C$9:$C$11,MATCH(1,'Tổng kết'!$I$9:$I$11,0))</f>
        <v/>
      </c>
      <c r="G37" s="2" t="inlineStr">
        <is>
          <t>—</t>
        </is>
      </c>
      <c r="H37" s="10">
        <f>'Timeline (5W1H)'!$B$17</f>
        <v/>
      </c>
      <c r="I37" s="3">
        <f>H37+10/1440</f>
        <v/>
      </c>
      <c r="J37" s="28">
        <f>IF(INDEX('Nhập kết quả'!$I:$I,MATCH(A37,'Nhập kết quả'!$A:$A,0))="","Chưa đấu","Đã đấu xong")</f>
        <v/>
      </c>
      <c r="K37" s="28">
        <f>INDEX('Nhập kết quả'!$I:$I,MATCH(A37,'Nhập kết quả'!$A:$A,0))</f>
        <v/>
      </c>
      <c r="L37" s="28">
        <f>INDEX('Nhập kết quả'!$L:$L,MATCH(A37,'Nhập kết quả'!$A:$A,0))</f>
        <v/>
      </c>
    </row>
    <row r="38" ht="15" customHeight="1" s="31">
      <c r="A38" s="2" t="n">
        <v>26</v>
      </c>
      <c r="B38" s="2" t="inlineStr">
        <is>
          <t>Bóng né</t>
        </is>
      </c>
      <c r="C38" s="8" t="inlineStr">
        <is>
          <t>Bán kết 2</t>
        </is>
      </c>
      <c r="D38" s="4" t="inlineStr">
        <is>
          <t>Sân 2</t>
        </is>
      </c>
      <c r="E38" s="11">
        <f>INDEX('Tổng kết'!$C$12:$C$14,MATCH(1,'Tổng kết'!$I$12:$I$14,0))</f>
        <v/>
      </c>
      <c r="F38" s="11">
        <f>INDEX('Tổng kết'!$C$15:$C$17,MATCH(1,'Tổng kết'!$I$15:$I$17,0))</f>
        <v/>
      </c>
      <c r="G38" s="2" t="inlineStr">
        <is>
          <t>—</t>
        </is>
      </c>
      <c r="H38" s="10">
        <f>'Timeline (5W1H)'!$B$17</f>
        <v/>
      </c>
      <c r="I38" s="3">
        <f>H38+10/1440</f>
        <v/>
      </c>
      <c r="J38" s="28">
        <f>IF(INDEX('Nhập kết quả'!$I:$I,MATCH(A38,'Nhập kết quả'!$A:$A,0))="","Chưa đấu","Đã đấu xong")</f>
        <v/>
      </c>
      <c r="K38" s="28">
        <f>INDEX('Nhập kết quả'!$I:$I,MATCH(A38,'Nhập kết quả'!$A:$A,0))</f>
        <v/>
      </c>
      <c r="L38" s="28">
        <f>INDEX('Nhập kết quả'!$L:$L,MATCH(A38,'Nhập kết quả'!$A:$A,0))</f>
        <v/>
      </c>
    </row>
    <row r="39" ht="15" customHeight="1" s="31">
      <c r="A39" s="2" t="n">
        <v>27</v>
      </c>
      <c r="B39" s="2" t="inlineStr">
        <is>
          <t>Kéo co</t>
        </is>
      </c>
      <c r="C39" s="8" t="inlineStr">
        <is>
          <t>Bán kết 1</t>
        </is>
      </c>
      <c r="D39" s="4" t="inlineStr">
        <is>
          <t>Dây 1</t>
        </is>
      </c>
      <c r="E39" s="11">
        <f>INDEX('Tổng kết'!$C$18:$C$20,MATCH(1,'Tổng kết'!$I$18:$I$20,0))</f>
        <v/>
      </c>
      <c r="F39" s="11">
        <f>INDEX('Tổng kết'!$C$21:$C$23,MATCH(1,'Tổng kết'!$I$21:$I$23,0))</f>
        <v/>
      </c>
      <c r="G39" s="2" t="inlineStr">
        <is>
          <t>—</t>
        </is>
      </c>
      <c r="H39" s="10">
        <f>'Timeline (5W1H)'!$B$18</f>
        <v/>
      </c>
      <c r="I39" s="3">
        <f>H39+10/1440</f>
        <v/>
      </c>
      <c r="J39" s="28">
        <f>IF(INDEX('Nhập kết quả'!$I:$I,MATCH(A39,'Nhập kết quả'!$A:$A,0))="","Chưa đấu","Đã đấu xong")</f>
        <v/>
      </c>
      <c r="K39" s="28">
        <f>INDEX('Nhập kết quả'!$I:$I,MATCH(A39,'Nhập kết quả'!$A:$A,0))</f>
        <v/>
      </c>
      <c r="L39" s="28">
        <f>INDEX('Nhập kết quả'!$L:$L,MATCH(A39,'Nhập kết quả'!$A:$A,0))</f>
        <v/>
      </c>
    </row>
    <row r="40" ht="15" customHeight="1" s="31">
      <c r="A40" s="2" t="n">
        <v>28</v>
      </c>
      <c r="B40" s="2" t="inlineStr">
        <is>
          <t>Kéo co</t>
        </is>
      </c>
      <c r="C40" s="8" t="inlineStr">
        <is>
          <t>Bán kết 2</t>
        </is>
      </c>
      <c r="D40" s="4" t="inlineStr">
        <is>
          <t>Dây 2</t>
        </is>
      </c>
      <c r="E40" s="11">
        <f>INDEX('Tổng kết'!$C$24:$C$26,MATCH(1,'Tổng kết'!$I$24:$I$26,0))</f>
        <v/>
      </c>
      <c r="F40" s="11">
        <f>INDEX('Tổng kết'!$C$27:$C$29,MATCH(1,'Tổng kết'!$I$27:$I$29,0))</f>
        <v/>
      </c>
      <c r="G40" s="2" t="inlineStr">
        <is>
          <t>—</t>
        </is>
      </c>
      <c r="H40" s="10">
        <f>'Timeline (5W1H)'!$B$18</f>
        <v/>
      </c>
      <c r="I40" s="3">
        <f>H40+10/1440</f>
        <v/>
      </c>
      <c r="J40" s="28">
        <f>IF(INDEX('Nhập kết quả'!$I:$I,MATCH(A40,'Nhập kết quả'!$A:$A,0))="","Chưa đấu","Đã đấu xong")</f>
        <v/>
      </c>
      <c r="K40" s="28">
        <f>INDEX('Nhập kết quả'!$I:$I,MATCH(A40,'Nhập kết quả'!$A:$A,0))</f>
        <v/>
      </c>
      <c r="L40" s="28">
        <f>INDEX('Nhập kết quả'!$L:$L,MATCH(A40,'Nhập kết quả'!$A:$A,0))</f>
        <v/>
      </c>
    </row>
    <row r="41" ht="15" customHeight="1" s="31">
      <c r="A41" s="2" t="n">
        <v>29</v>
      </c>
      <c r="B41" s="2" t="inlineStr">
        <is>
          <t>Bóng né</t>
        </is>
      </c>
      <c r="C41" s="8" t="inlineStr">
        <is>
          <t>Chung kết</t>
        </is>
      </c>
      <c r="D41" s="4" t="inlineStr">
        <is>
          <t>Sân 1</t>
        </is>
      </c>
      <c r="E41" s="11">
        <f>'Nhập kết quả'!I29</f>
        <v/>
      </c>
      <c r="F41" s="11">
        <f>'Nhập kết quả'!I30</f>
        <v/>
      </c>
      <c r="G41" s="2" t="inlineStr">
        <is>
          <t>—</t>
        </is>
      </c>
      <c r="H41" s="10">
        <f>'Timeline (5W1H)'!$B$20</f>
        <v/>
      </c>
      <c r="I41" s="3">
        <f>H41+10/1440</f>
        <v/>
      </c>
      <c r="J41" s="28">
        <f>IF(INDEX('Nhập kết quả'!$I:$I,MATCH(A41,'Nhập kết quả'!$A:$A,0))="","Chưa đấu","Đã đấu xong")</f>
        <v/>
      </c>
      <c r="K41" s="28">
        <f>INDEX('Nhập kết quả'!$I:$I,MATCH(A41,'Nhập kết quả'!$A:$A,0))</f>
        <v/>
      </c>
      <c r="L41" s="28">
        <f>INDEX('Nhập kết quả'!$L:$L,MATCH(A41,'Nhập kết quả'!$A:$A,0))</f>
        <v/>
      </c>
    </row>
    <row r="42" ht="15" customHeight="1" s="31">
      <c r="A42" s="2" t="n">
        <v>30</v>
      </c>
      <c r="B42" s="2" t="inlineStr">
        <is>
          <t>Kéo co</t>
        </is>
      </c>
      <c r="C42" s="8" t="inlineStr">
        <is>
          <t>Chung kết</t>
        </is>
      </c>
      <c r="D42" s="4" t="inlineStr">
        <is>
          <t>Dây 1</t>
        </is>
      </c>
      <c r="E42" s="11">
        <f>'Nhập kết quả'!I31</f>
        <v/>
      </c>
      <c r="F42" s="11">
        <f>'Nhập kết quả'!I32</f>
        <v/>
      </c>
      <c r="G42" s="2" t="inlineStr">
        <is>
          <t>—</t>
        </is>
      </c>
      <c r="H42" s="10">
        <f>'Timeline (5W1H)'!$B$21</f>
        <v/>
      </c>
      <c r="I42" s="3">
        <f>H42+10/1440</f>
        <v/>
      </c>
      <c r="J42" s="28">
        <f>IF(INDEX('Nhập kết quả'!$I:$I,MATCH(A42,'Nhập kết quả'!$A:$A,0))="","Chưa đấu","Đã đấu xong")</f>
        <v/>
      </c>
      <c r="K42" s="28">
        <f>INDEX('Nhập kết quả'!$I:$I,MATCH(A42,'Nhập kết quả'!$A:$A,0))</f>
        <v/>
      </c>
      <c r="L42" s="28">
        <f>INDEX('Nhập kết quả'!$L:$L,MATCH(A42,'Nhập kết quả'!$A:$A,0))</f>
        <v/>
      </c>
    </row>
  </sheetData>
  <mergeCells count="4">
    <mergeCell ref="A1:I1"/>
    <mergeCell ref="A4:D4"/>
    <mergeCell ref="A2:I2"/>
    <mergeCell ref="G11:I1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style="31" min="1" max="1"/>
    <col width="12" customWidth="1" style="31" min="2" max="2"/>
    <col width="40" customWidth="1" style="31" min="3" max="3"/>
    <col width="55" customWidth="1" style="31" min="4" max="4"/>
    <col width="12" customWidth="1" style="31" min="5" max="5"/>
  </cols>
  <sheetData>
    <row r="1" ht="19.5" customHeight="1" s="31">
      <c r="A1" s="30" t="inlineStr">
        <is>
          <t>DANH SÁCH ĐỘI — HỘI THAO EDULYMPIC</t>
        </is>
      </c>
    </row>
    <row r="2" ht="15" customHeight="1" s="31">
      <c r="A2" s="33" t="inlineStr">
        <is>
          <t>Cột "Đội" và "Bảng đấu" tự lấy từ sheet 'Lịch thi đấu' — đổi tên đội ở đó, bảng này tự cập nhật theo.</t>
        </is>
      </c>
    </row>
    <row r="4" ht="27.75" customHeight="1" s="31">
      <c r="A4" s="1" t="inlineStr">
        <is>
          <t>STT</t>
        </is>
      </c>
      <c r="B4" s="1" t="inlineStr">
        <is>
          <t>Đội</t>
        </is>
      </c>
      <c r="C4" s="1" t="inlineStr">
        <is>
          <t>Khu vực / Khối</t>
        </is>
      </c>
      <c r="D4" s="1" t="inlineStr">
        <is>
          <t>Chi tiết địa điểm / phòng ban</t>
        </is>
      </c>
      <c r="E4" s="1" t="inlineStr">
        <is>
          <t>Bảng đấu</t>
        </is>
      </c>
    </row>
    <row r="5" ht="31.5" customHeight="1" s="31">
      <c r="A5" s="2" t="n">
        <v>1</v>
      </c>
      <c r="B5" s="11">
        <f>'Lịch thi đấu'!C7</f>
        <v/>
      </c>
      <c r="C5" s="5" t="inlineStr">
        <is>
          <t>Trụ sở – Khối Sản xuất - Vận hành</t>
        </is>
      </c>
      <c r="D5" s="5" t="inlineStr">
        <is>
          <t>Sản phẩm ngoại ngữ, Đổi mới sản phẩm, Tổ chức giáo viên</t>
        </is>
      </c>
      <c r="E5" s="11">
        <f>'Lịch thi đấu'!$A$7</f>
        <v/>
      </c>
    </row>
    <row r="6" ht="31.5" customHeight="1" s="31">
      <c r="A6" s="2" t="n">
        <v>2</v>
      </c>
      <c r="B6" s="11">
        <f>'Lịch thi đấu'!D7</f>
        <v/>
      </c>
      <c r="C6" s="5" t="inlineStr">
        <is>
          <t>Trụ sở – Khối Quản trị</t>
        </is>
      </c>
      <c r="D6" s="5" t="inlineStr">
        <is>
          <t>CNTT, Nhân sự, Kế toán - Tài chính, Đào tạo</t>
        </is>
      </c>
      <c r="E6" s="11">
        <f>'Lịch thi đấu'!$A$7</f>
        <v/>
      </c>
    </row>
    <row r="7" ht="31.5" customHeight="1" s="31">
      <c r="A7" s="2" t="n">
        <v>3</v>
      </c>
      <c r="B7" s="11">
        <f>'Lịch thi đấu'!C8</f>
        <v/>
      </c>
      <c r="C7" s="5" t="inlineStr">
        <is>
          <t>Trụ sở – Khối Trải nghiệm khách hàng - hỗ trợ và truyền thông marketing</t>
        </is>
      </c>
      <c r="D7" s="5" t="inlineStr">
        <is>
          <t>Brands - marketing, Phòng Kinh doanh và Phát triển Đối tác, QLHV, Trải nghiệm khách hàng, design, CSVC</t>
        </is>
      </c>
      <c r="E7" s="11">
        <f>'Lịch thi đấu'!$A$8</f>
        <v/>
      </c>
    </row>
    <row r="8" ht="31.5" customHeight="1" s="31">
      <c r="A8" s="2" t="n">
        <v>4</v>
      </c>
      <c r="B8" s="11">
        <f>'Lịch thi đấu'!C6</f>
        <v/>
      </c>
      <c r="C8" s="5" t="inlineStr">
        <is>
          <t>Khu vực HN01 - HN05 - MB05</t>
        </is>
      </c>
      <c r="D8" s="5" t="inlineStr">
        <is>
          <t>Đặng Thùy Trâm, Phạm Tuấn Tài 3, Láng Hạ, Mê Linh VP</t>
        </is>
      </c>
      <c r="E8" s="11">
        <f>'Lịch thi đấu'!$A$6</f>
        <v/>
      </c>
    </row>
    <row r="9" ht="31.5" customHeight="1" s="31">
      <c r="A9" s="2" t="n">
        <v>5</v>
      </c>
      <c r="B9" s="11">
        <f>'Lịch thi đấu'!D6</f>
        <v/>
      </c>
      <c r="C9" s="5" t="inlineStr">
        <is>
          <t>Khu vực HN06 - HN08</t>
        </is>
      </c>
      <c r="D9" s="5" t="inlineStr">
        <is>
          <t>Trần Quốc Vượng, Xuân Thủy, Hoàng Quốc Việt, Bắc Từ Liêm</t>
        </is>
      </c>
      <c r="E9" s="11">
        <f>'Lịch thi đấu'!$A$6</f>
        <v/>
      </c>
    </row>
    <row r="10" ht="31.5" customHeight="1" s="31">
      <c r="A10" s="2" t="n">
        <v>6</v>
      </c>
      <c r="B10" s="11">
        <f>'Lịch thi đấu'!B9</f>
        <v/>
      </c>
      <c r="C10" s="5" t="inlineStr">
        <is>
          <t>Khu vực HN02 - MB01</t>
        </is>
      </c>
      <c r="D10" s="5" t="inlineStr">
        <is>
          <t>Nguyễn Khuyến 1, Quang Trung, Văn Phú</t>
        </is>
      </c>
      <c r="E10" s="11">
        <f>'Lịch thi đấu'!$A$9</f>
        <v/>
      </c>
    </row>
    <row r="11" ht="31.5" customHeight="1" s="31">
      <c r="A11" s="2" t="n">
        <v>7</v>
      </c>
      <c r="B11" s="11">
        <f>'Lịch thi đấu'!C9</f>
        <v/>
      </c>
      <c r="C11" s="5" t="inlineStr">
        <is>
          <t>Khu vực HN02 - MB01</t>
        </is>
      </c>
      <c r="D11" s="5" t="inlineStr">
        <is>
          <t>Văn Quán 1, Nguyễn Khuyến, Lê Thanh Nghị HD</t>
        </is>
      </c>
      <c r="E11" s="11">
        <f>'Lịch thi đấu'!$A$9</f>
        <v/>
      </c>
    </row>
    <row r="12" ht="31.5" customHeight="1" s="31">
      <c r="A12" s="2" t="n">
        <v>8</v>
      </c>
      <c r="B12" s="11">
        <f>'Lịch thi đấu'!D8</f>
        <v/>
      </c>
      <c r="C12" s="5" t="inlineStr">
        <is>
          <t>Khu vực HN03 - HN11 - MB02 - MT01</t>
        </is>
      </c>
      <c r="D12" s="5" t="inlineStr">
        <is>
          <t>Thái Hà, Xuân Quỳnh, Tam Khương, Hà Huy Tập NĐ, Lê Hồng Phong NB, Phan Bội Châu NA, Lạc Long Quân TH</t>
        </is>
      </c>
      <c r="E12" s="11">
        <f>'Lịch thi đấu'!$A$8</f>
        <v/>
      </c>
    </row>
    <row r="13" ht="31.5" customHeight="1" s="31">
      <c r="A13" s="2" t="n">
        <v>9</v>
      </c>
      <c r="B13" s="11">
        <f>'Lịch thi đấu'!B8</f>
        <v/>
      </c>
      <c r="C13" s="5" t="inlineStr">
        <is>
          <t>Khu vực HN07 - MB03</t>
        </is>
      </c>
      <c r="D13" s="5" t="inlineStr">
        <is>
          <t>Thanh Trì, Trần Đại Nghĩa 2, Lê Duẩn HP, Lạch Tray HP</t>
        </is>
      </c>
      <c r="E13" s="11">
        <f>'Lịch thi đấu'!$A$8</f>
        <v/>
      </c>
    </row>
    <row r="14" ht="31.5" customHeight="1" s="31">
      <c r="A14" s="2" t="n">
        <v>10</v>
      </c>
      <c r="B14" s="11">
        <f>'Lịch thi đấu'!B6</f>
        <v/>
      </c>
      <c r="C14" s="5" t="inlineStr">
        <is>
          <t>Khu vực HN10 - MB04 - MT02</t>
        </is>
      </c>
      <c r="D14" s="5" t="inlineStr">
        <is>
          <t>Yên Nghĩa, Văn Quán 2, Văn Quán 3</t>
        </is>
      </c>
      <c r="E14" s="11">
        <f>'Lịch thi đấu'!$A$6</f>
        <v/>
      </c>
    </row>
    <row r="15" ht="31.5" customHeight="1" s="31">
      <c r="A15" s="2" t="n">
        <v>11</v>
      </c>
      <c r="B15" s="11">
        <f>'Lịch thi đấu'!D9</f>
        <v/>
      </c>
      <c r="C15" s="5" t="inlineStr">
        <is>
          <t>Khu vực HN10 - MB04 - MT02</t>
        </is>
      </c>
      <c r="D15" s="5" t="inlineStr">
        <is>
          <t>Phùng Khoang, Bắc Sơn TN, MonBay QN, Hoàng Diệu ĐN, Phong Châu TTH, Văn Quán 3</t>
        </is>
      </c>
      <c r="E15" s="11">
        <f>'Lịch thi đấu'!$A$9</f>
        <v/>
      </c>
    </row>
    <row r="16" ht="31.5" customHeight="1" s="31">
      <c r="A16" s="2" t="n">
        <v>12</v>
      </c>
      <c r="B16" s="11">
        <f>'Lịch thi đấu'!B7</f>
        <v/>
      </c>
      <c r="C16" s="5" t="inlineStr">
        <is>
          <t>Khu vực HN15</t>
        </is>
      </c>
      <c r="D16" s="5" t="inlineStr">
        <is>
          <t>Gia Lâm, Giải Phóng, Lê Thanh Nghị 2</t>
        </is>
      </c>
      <c r="E16" s="11">
        <f>'Lịch thi đấu'!$A$7</f>
        <v/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style="31" min="1" max="1"/>
    <col width="10" customWidth="1" style="31" min="2" max="2"/>
    <col width="24" customWidth="1" style="31" min="3" max="3"/>
    <col width="12" customWidth="1" style="31" min="4" max="5"/>
    <col width="8" customWidth="1" style="31" min="6" max="7"/>
    <col width="16" customWidth="1" style="31" min="8" max="8"/>
    <col width="12" customWidth="1" style="31" min="9" max="10"/>
    <col width="20" customWidth="1" style="31" min="11" max="11"/>
    <col width="14" customWidth="1" style="31" min="12" max="12"/>
    <col width="14" customWidth="1" style="31" min="13" max="13"/>
  </cols>
  <sheetData>
    <row r="1" ht="19.5" customHeight="1" s="31">
      <c r="A1" s="30" t="inlineStr">
        <is>
          <t>NHẬP KẾT QUẢ THI ĐẤU</t>
        </is>
      </c>
    </row>
    <row r="2" ht="15" customHeight="1" s="31">
      <c r="A2" s="33" t="inlineStr">
        <is>
          <t>Bóng né: nhập số người còn lại mỗi đội khi hết giờ  |  Kéo co: nhập số hiệp thắng mỗi đội (thắng 2/3).</t>
        </is>
      </c>
    </row>
    <row r="3" ht="15" customHeight="1" s="31">
      <c r="A3" s="36" t="inlineStr">
        <is>
          <t>Nếu Nữ hoàng bị hạ hoặc đội phạm luật xử thua ngay: KHÔNG cần nhập chỉ số — chỉ cần chọn đội thắng ở cột "Thắng trực tiếp" (dropdown), cột Đội thắng/Đội thua sẽ tự lấy theo lựa chọn này.</t>
        </is>
      </c>
    </row>
    <row r="4" ht="31.5" customHeight="1" s="31">
      <c r="A4" s="1" t="inlineStr">
        <is>
          <t>STT</t>
        </is>
      </c>
      <c r="B4" s="1" t="inlineStr">
        <is>
          <t>Môn</t>
        </is>
      </c>
      <c r="C4" s="1" t="inlineStr">
        <is>
          <t>Giai đoạn</t>
        </is>
      </c>
      <c r="D4" s="1" t="inlineStr">
        <is>
          <t>Đội 1</t>
        </is>
      </c>
      <c r="E4" s="1" t="inlineStr">
        <is>
          <t>Đội 2</t>
        </is>
      </c>
      <c r="F4" s="1" t="inlineStr">
        <is>
          <t>Chỉ số
Đội 1</t>
        </is>
      </c>
      <c r="G4" s="1" t="inlineStr">
        <is>
          <t>Chỉ số
Đội 2</t>
        </is>
      </c>
      <c r="H4" s="1" t="inlineStr">
        <is>
          <t>Thắng trực tiếp
(Nữ hoàng bị hạ / phạm luật)</t>
        </is>
      </c>
      <c r="I4" s="1" t="inlineStr">
        <is>
          <t>Đội thắng</t>
        </is>
      </c>
      <c r="J4" s="1" t="inlineStr">
        <is>
          <t>Đội thua</t>
        </is>
      </c>
      <c r="K4" s="1" t="inlineStr">
        <is>
          <t>Ghi chú</t>
        </is>
      </c>
      <c r="L4" s="27" t="inlineStr">
        <is>
          <t>Đang thi đấu?</t>
        </is>
      </c>
      <c r="M4" s="27" t="inlineStr">
        <is>
          <t>Đang thi đấu (nhập tay)</t>
        </is>
      </c>
    </row>
    <row r="5" ht="15" customHeight="1" s="31">
      <c r="A5" s="7">
        <f>'Lịch thi đấu'!A13</f>
        <v/>
      </c>
      <c r="B5" s="7">
        <f>'Lịch thi đấu'!B13</f>
        <v/>
      </c>
      <c r="C5" s="7">
        <f>'Lịch thi đấu'!C13</f>
        <v/>
      </c>
      <c r="D5" s="7">
        <f>'Lịch thi đấu'!E13</f>
        <v/>
      </c>
      <c r="E5" s="7">
        <f>'Lịch thi đấu'!F13</f>
        <v/>
      </c>
      <c r="F5" s="4" t="n"/>
      <c r="G5" s="4" t="n"/>
      <c r="H5" s="9" t="n"/>
      <c r="I5" s="12">
        <f>IF(H5&lt;&gt;"",H5,IF(OR(F5="",G5=""),"",IF(F5&gt;G5,D5,IF(G5&gt;F5,E5,"Hòa"))))</f>
        <v/>
      </c>
      <c r="J5" s="2">
        <f>IF(H5&lt;&gt;"",IF(H5=D5,E5,D5),IF(OR(F5="",G5=""),"",IF(F5&gt;G5,E5,IF(G5&gt;F5,D5,"Hòa"))))</f>
        <v/>
      </c>
      <c r="K5" s="13" t="n"/>
      <c r="L5" s="29">
        <f>IF($I5&lt;&gt;"","",IF($M5="Có","Có",""))</f>
        <v/>
      </c>
      <c r="M5" s="29" t="n"/>
    </row>
    <row r="6" ht="15" customHeight="1" s="31">
      <c r="A6" s="7">
        <f>'Lịch thi đấu'!A14</f>
        <v/>
      </c>
      <c r="B6" s="7">
        <f>'Lịch thi đấu'!B14</f>
        <v/>
      </c>
      <c r="C6" s="7">
        <f>'Lịch thi đấu'!C14</f>
        <v/>
      </c>
      <c r="D6" s="7">
        <f>'Lịch thi đấu'!E14</f>
        <v/>
      </c>
      <c r="E6" s="7">
        <f>'Lịch thi đấu'!F14</f>
        <v/>
      </c>
      <c r="F6" s="4" t="n"/>
      <c r="G6" s="4" t="n"/>
      <c r="H6" s="9" t="n"/>
      <c r="I6" s="12">
        <f>IF(H6&lt;&gt;"",H6,IF(OR(F6="",G6=""),"",IF(F6&gt;G6,D6,IF(G6&gt;F6,E6,"Hòa"))))</f>
        <v/>
      </c>
      <c r="J6" s="2">
        <f>IF(H6&lt;&gt;"",IF(H6=D6,E6,D6),IF(OR(F6="",G6=""),"",IF(F6&gt;G6,E6,IF(G6&gt;F6,D6,"Hòa"))))</f>
        <v/>
      </c>
      <c r="K6" s="13" t="n"/>
      <c r="L6" s="29">
        <f>IF($I6&lt;&gt;"","",IF($M6="Có","Có",""))</f>
        <v/>
      </c>
      <c r="M6" s="29" t="n"/>
    </row>
    <row r="7" ht="15" customHeight="1" s="31">
      <c r="A7" s="7">
        <f>'Lịch thi đấu'!A15</f>
        <v/>
      </c>
      <c r="B7" s="7">
        <f>'Lịch thi đấu'!B15</f>
        <v/>
      </c>
      <c r="C7" s="7">
        <f>'Lịch thi đấu'!C15</f>
        <v/>
      </c>
      <c r="D7" s="7">
        <f>'Lịch thi đấu'!E15</f>
        <v/>
      </c>
      <c r="E7" s="7">
        <f>'Lịch thi đấu'!F15</f>
        <v/>
      </c>
      <c r="F7" s="4" t="n"/>
      <c r="G7" s="4" t="n"/>
      <c r="H7" s="9" t="n"/>
      <c r="I7" s="12">
        <f>IF(H7&lt;&gt;"",H7,IF(OR(F7="",G7=""),"",IF(F7&gt;G7,D7,IF(G7&gt;F7,E7,"Hòa"))))</f>
        <v/>
      </c>
      <c r="J7" s="2">
        <f>IF(H7&lt;&gt;"",IF(H7=D7,E7,D7),IF(OR(F7="",G7=""),"",IF(F7&gt;G7,E7,IF(G7&gt;F7,D7,"Hòa"))))</f>
        <v/>
      </c>
      <c r="K7" s="13" t="n"/>
      <c r="L7" s="29">
        <f>IF($I7&lt;&gt;"","",IF($M7="Có","Có",""))</f>
        <v/>
      </c>
      <c r="M7" s="29" t="n"/>
    </row>
    <row r="8" ht="15" customHeight="1" s="31">
      <c r="A8" s="7">
        <f>'Lịch thi đấu'!A16</f>
        <v/>
      </c>
      <c r="B8" s="7">
        <f>'Lịch thi đấu'!B16</f>
        <v/>
      </c>
      <c r="C8" s="7">
        <f>'Lịch thi đấu'!C16</f>
        <v/>
      </c>
      <c r="D8" s="7">
        <f>'Lịch thi đấu'!E16</f>
        <v/>
      </c>
      <c r="E8" s="7">
        <f>'Lịch thi đấu'!F16</f>
        <v/>
      </c>
      <c r="F8" s="4" t="n"/>
      <c r="G8" s="4" t="n"/>
      <c r="H8" s="9" t="n"/>
      <c r="I8" s="12">
        <f>IF(H8&lt;&gt;"",H8,IF(OR(F8="",G8=""),"",IF(F8&gt;G8,D8,IF(G8&gt;F8,E8,"Hòa"))))</f>
        <v/>
      </c>
      <c r="J8" s="2">
        <f>IF(H8&lt;&gt;"",IF(H8=D8,E8,D8),IF(OR(F8="",G8=""),"",IF(F8&gt;G8,E8,IF(G8&gt;F8,D8,"Hòa"))))</f>
        <v/>
      </c>
      <c r="K8" s="13" t="n"/>
      <c r="L8" s="29">
        <f>IF($I8&lt;&gt;"","",IF($M8="Có","Có",""))</f>
        <v/>
      </c>
      <c r="M8" s="29" t="n"/>
    </row>
    <row r="9" ht="15" customHeight="1" s="31">
      <c r="A9" s="7">
        <f>'Lịch thi đấu'!A17</f>
        <v/>
      </c>
      <c r="B9" s="7">
        <f>'Lịch thi đấu'!B17</f>
        <v/>
      </c>
      <c r="C9" s="7">
        <f>'Lịch thi đấu'!C17</f>
        <v/>
      </c>
      <c r="D9" s="7">
        <f>'Lịch thi đấu'!E17</f>
        <v/>
      </c>
      <c r="E9" s="7">
        <f>'Lịch thi đấu'!F17</f>
        <v/>
      </c>
      <c r="F9" s="4" t="n"/>
      <c r="G9" s="4" t="n"/>
      <c r="H9" s="9" t="n"/>
      <c r="I9" s="12">
        <f>IF(H9&lt;&gt;"",H9,IF(OR(F9="",G9=""),"",IF(F9&gt;G9,D9,IF(G9&gt;F9,E9,"Hòa"))))</f>
        <v/>
      </c>
      <c r="J9" s="2">
        <f>IF(H9&lt;&gt;"",IF(H9=D9,E9,D9),IF(OR(F9="",G9=""),"",IF(F9&gt;G9,E9,IF(G9&gt;F9,D9,"Hòa"))))</f>
        <v/>
      </c>
      <c r="K9" s="13" t="n"/>
      <c r="L9" s="29">
        <f>IF($I9&lt;&gt;"","",IF($M9="Có","Có",""))</f>
        <v/>
      </c>
      <c r="M9" s="29" t="n"/>
    </row>
    <row r="10" ht="15" customHeight="1" s="31">
      <c r="A10" s="7">
        <f>'Lịch thi đấu'!A18</f>
        <v/>
      </c>
      <c r="B10" s="7">
        <f>'Lịch thi đấu'!B18</f>
        <v/>
      </c>
      <c r="C10" s="7">
        <f>'Lịch thi đấu'!C18</f>
        <v/>
      </c>
      <c r="D10" s="7">
        <f>'Lịch thi đấu'!E18</f>
        <v/>
      </c>
      <c r="E10" s="7">
        <f>'Lịch thi đấu'!F18</f>
        <v/>
      </c>
      <c r="F10" s="4" t="n"/>
      <c r="G10" s="4" t="n"/>
      <c r="H10" s="9" t="n"/>
      <c r="I10" s="12">
        <f>IF(H10&lt;&gt;"",H10,IF(OR(F10="",G10=""),"",IF(F10&gt;G10,D10,IF(G10&gt;F10,E10,"Hòa"))))</f>
        <v/>
      </c>
      <c r="J10" s="2">
        <f>IF(H10&lt;&gt;"",IF(H10=D10,E10,D10),IF(OR(F10="",G10=""),"",IF(F10&gt;G10,E10,IF(G10&gt;F10,D10,"Hòa"))))</f>
        <v/>
      </c>
      <c r="K10" s="13" t="n"/>
      <c r="L10" s="29">
        <f>IF($I10&lt;&gt;"","",IF($M10="Có","Có",""))</f>
        <v/>
      </c>
      <c r="M10" s="29" t="n"/>
    </row>
    <row r="11" ht="15" customHeight="1" s="31">
      <c r="A11" s="7">
        <f>'Lịch thi đấu'!A19</f>
        <v/>
      </c>
      <c r="B11" s="7">
        <f>'Lịch thi đấu'!B19</f>
        <v/>
      </c>
      <c r="C11" s="7">
        <f>'Lịch thi đấu'!C19</f>
        <v/>
      </c>
      <c r="D11" s="7">
        <f>'Lịch thi đấu'!E19</f>
        <v/>
      </c>
      <c r="E11" s="7">
        <f>'Lịch thi đấu'!F19</f>
        <v/>
      </c>
      <c r="F11" s="4" t="n"/>
      <c r="G11" s="4" t="n"/>
      <c r="H11" s="9" t="n"/>
      <c r="I11" s="12">
        <f>IF(H11&lt;&gt;"",H11,IF(OR(F11="",G11=""),"",IF(F11&gt;G11,D11,IF(G11&gt;F11,E11,"Hòa"))))</f>
        <v/>
      </c>
      <c r="J11" s="2">
        <f>IF(H11&lt;&gt;"",IF(H11=D11,E11,D11),IF(OR(F11="",G11=""),"",IF(F11&gt;G11,E11,IF(G11&gt;F11,D11,"Hòa"))))</f>
        <v/>
      </c>
      <c r="K11" s="13" t="n"/>
      <c r="L11" s="29">
        <f>IF($I11&lt;&gt;"","",IF($M11="Có","Có",""))</f>
        <v/>
      </c>
      <c r="M11" s="29" t="n"/>
    </row>
    <row r="12" ht="15" customHeight="1" s="31">
      <c r="A12" s="7">
        <f>'Lịch thi đấu'!A20</f>
        <v/>
      </c>
      <c r="B12" s="7">
        <f>'Lịch thi đấu'!B20</f>
        <v/>
      </c>
      <c r="C12" s="7">
        <f>'Lịch thi đấu'!C20</f>
        <v/>
      </c>
      <c r="D12" s="7">
        <f>'Lịch thi đấu'!E20</f>
        <v/>
      </c>
      <c r="E12" s="7">
        <f>'Lịch thi đấu'!F20</f>
        <v/>
      </c>
      <c r="F12" s="4" t="n"/>
      <c r="G12" s="4" t="n"/>
      <c r="H12" s="9" t="n"/>
      <c r="I12" s="12">
        <f>IF(H12&lt;&gt;"",H12,IF(OR(F12="",G12=""),"",IF(F12&gt;G12,D12,IF(G12&gt;F12,E12,"Hòa"))))</f>
        <v/>
      </c>
      <c r="J12" s="2">
        <f>IF(H12&lt;&gt;"",IF(H12=D12,E12,D12),IF(OR(F12="",G12=""),"",IF(F12&gt;G12,E12,IF(G12&gt;F12,D12,"Hòa"))))</f>
        <v/>
      </c>
      <c r="K12" s="13" t="n"/>
      <c r="L12" s="29">
        <f>IF($I12&lt;&gt;"","",IF($M12="Có","Có",""))</f>
        <v/>
      </c>
      <c r="M12" s="29" t="n"/>
    </row>
    <row r="13" ht="15" customHeight="1" s="31">
      <c r="A13" s="7">
        <f>'Lịch thi đấu'!A21</f>
        <v/>
      </c>
      <c r="B13" s="7">
        <f>'Lịch thi đấu'!B21</f>
        <v/>
      </c>
      <c r="C13" s="7">
        <f>'Lịch thi đấu'!C21</f>
        <v/>
      </c>
      <c r="D13" s="7">
        <f>'Lịch thi đấu'!E21</f>
        <v/>
      </c>
      <c r="E13" s="7">
        <f>'Lịch thi đấu'!F21</f>
        <v/>
      </c>
      <c r="F13" s="4" t="n"/>
      <c r="G13" s="4" t="n"/>
      <c r="H13" s="9" t="n"/>
      <c r="I13" s="12">
        <f>IF(H13&lt;&gt;"",H13,IF(OR(F13="",G13=""),"",IF(F13&gt;G13,D13,IF(G13&gt;F13,E13,"Hòa"))))</f>
        <v/>
      </c>
      <c r="J13" s="2">
        <f>IF(H13&lt;&gt;"",IF(H13=D13,E13,D13),IF(OR(F13="",G13=""),"",IF(F13&gt;G13,E13,IF(G13&gt;F13,D13,"Hòa"))))</f>
        <v/>
      </c>
      <c r="K13" s="13" t="n"/>
      <c r="L13" s="29">
        <f>IF($I13&lt;&gt;"","",IF($M13="Có","Có",""))</f>
        <v/>
      </c>
      <c r="M13" s="29" t="n"/>
    </row>
    <row r="14" ht="15" customHeight="1" s="31">
      <c r="A14" s="7">
        <f>'Lịch thi đấu'!A22</f>
        <v/>
      </c>
      <c r="B14" s="7">
        <f>'Lịch thi đấu'!B22</f>
        <v/>
      </c>
      <c r="C14" s="7">
        <f>'Lịch thi đấu'!C22</f>
        <v/>
      </c>
      <c r="D14" s="7">
        <f>'Lịch thi đấu'!E22</f>
        <v/>
      </c>
      <c r="E14" s="7">
        <f>'Lịch thi đấu'!F22</f>
        <v/>
      </c>
      <c r="F14" s="4" t="n"/>
      <c r="G14" s="4" t="n"/>
      <c r="H14" s="9" t="n"/>
      <c r="I14" s="12">
        <f>IF(H14&lt;&gt;"",H14,IF(OR(F14="",G14=""),"",IF(F14&gt;G14,D14,IF(G14&gt;F14,E14,"Hòa"))))</f>
        <v/>
      </c>
      <c r="J14" s="2">
        <f>IF(H14&lt;&gt;"",IF(H14=D14,E14,D14),IF(OR(F14="",G14=""),"",IF(F14&gt;G14,E14,IF(G14&gt;F14,D14,"Hòa"))))</f>
        <v/>
      </c>
      <c r="K14" s="13" t="n"/>
      <c r="L14" s="29">
        <f>IF($I14&lt;&gt;"","",IF($M14="Có","Có",""))</f>
        <v/>
      </c>
      <c r="M14" s="29" t="n"/>
    </row>
    <row r="15" ht="15" customHeight="1" s="31">
      <c r="A15" s="7">
        <f>'Lịch thi đấu'!A23</f>
        <v/>
      </c>
      <c r="B15" s="7">
        <f>'Lịch thi đấu'!B23</f>
        <v/>
      </c>
      <c r="C15" s="7">
        <f>'Lịch thi đấu'!C23</f>
        <v/>
      </c>
      <c r="D15" s="7">
        <f>'Lịch thi đấu'!E23</f>
        <v/>
      </c>
      <c r="E15" s="7">
        <f>'Lịch thi đấu'!F23</f>
        <v/>
      </c>
      <c r="F15" s="4" t="n"/>
      <c r="G15" s="4" t="n"/>
      <c r="H15" s="9" t="n"/>
      <c r="I15" s="12">
        <f>IF(H15&lt;&gt;"",H15,IF(OR(F15="",G15=""),"",IF(F15&gt;G15,D15,IF(G15&gt;F15,E15,"Hòa"))))</f>
        <v/>
      </c>
      <c r="J15" s="2">
        <f>IF(H15&lt;&gt;"",IF(H15=D15,E15,D15),IF(OR(F15="",G15=""),"",IF(F15&gt;G15,E15,IF(G15&gt;F15,D15,"Hòa"))))</f>
        <v/>
      </c>
      <c r="K15" s="13" t="n"/>
      <c r="L15" s="29">
        <f>IF($I15&lt;&gt;"","",IF($M15="Có","Có",""))</f>
        <v/>
      </c>
      <c r="M15" s="29" t="n"/>
    </row>
    <row r="16" ht="15" customHeight="1" s="31">
      <c r="A16" s="7">
        <f>'Lịch thi đấu'!A24</f>
        <v/>
      </c>
      <c r="B16" s="7">
        <f>'Lịch thi đấu'!B24</f>
        <v/>
      </c>
      <c r="C16" s="7">
        <f>'Lịch thi đấu'!C24</f>
        <v/>
      </c>
      <c r="D16" s="7">
        <f>'Lịch thi đấu'!E24</f>
        <v/>
      </c>
      <c r="E16" s="7">
        <f>'Lịch thi đấu'!F24</f>
        <v/>
      </c>
      <c r="F16" s="4" t="n"/>
      <c r="G16" s="4" t="n"/>
      <c r="H16" s="9" t="n"/>
      <c r="I16" s="12">
        <f>IF(H16&lt;&gt;"",H16,IF(OR(F16="",G16=""),"",IF(F16&gt;G16,D16,IF(G16&gt;F16,E16,"Hòa"))))</f>
        <v/>
      </c>
      <c r="J16" s="2">
        <f>IF(H16&lt;&gt;"",IF(H16=D16,E16,D16),IF(OR(F16="",G16=""),"",IF(F16&gt;G16,E16,IF(G16&gt;F16,D16,"Hòa"))))</f>
        <v/>
      </c>
      <c r="K16" s="13" t="n"/>
      <c r="L16" s="29">
        <f>IF($I16&lt;&gt;"","",IF($M16="Có","Có",""))</f>
        <v/>
      </c>
      <c r="M16" s="29" t="n"/>
    </row>
    <row r="17" ht="15" customHeight="1" s="31">
      <c r="A17" s="7">
        <f>'Lịch thi đấu'!A25</f>
        <v/>
      </c>
      <c r="B17" s="7">
        <f>'Lịch thi đấu'!B25</f>
        <v/>
      </c>
      <c r="C17" s="7">
        <f>'Lịch thi đấu'!C25</f>
        <v/>
      </c>
      <c r="D17" s="7">
        <f>'Lịch thi đấu'!E25</f>
        <v/>
      </c>
      <c r="E17" s="7">
        <f>'Lịch thi đấu'!F25</f>
        <v/>
      </c>
      <c r="F17" s="4" t="n"/>
      <c r="G17" s="4" t="n"/>
      <c r="H17" s="9" t="n"/>
      <c r="I17" s="12">
        <f>IF(H17&lt;&gt;"",H17,IF(OR(F17="",G17=""),"",IF(F17&gt;G17,D17,IF(G17&gt;F17,E17,"Hòa"))))</f>
        <v/>
      </c>
      <c r="J17" s="2">
        <f>IF(H17&lt;&gt;"",IF(H17=D17,E17,D17),IF(OR(F17="",G17=""),"",IF(F17&gt;G17,E17,IF(G17&gt;F17,D17,"Hòa"))))</f>
        <v/>
      </c>
      <c r="K17" s="13" t="n"/>
      <c r="L17" s="29">
        <f>IF($I17&lt;&gt;"","",IF($M17="Có","Có",""))</f>
        <v/>
      </c>
      <c r="M17" s="29" t="n"/>
    </row>
    <row r="18" ht="15" customHeight="1" s="31">
      <c r="A18" s="7">
        <f>'Lịch thi đấu'!A26</f>
        <v/>
      </c>
      <c r="B18" s="7">
        <f>'Lịch thi đấu'!B26</f>
        <v/>
      </c>
      <c r="C18" s="7">
        <f>'Lịch thi đấu'!C26</f>
        <v/>
      </c>
      <c r="D18" s="7">
        <f>'Lịch thi đấu'!E26</f>
        <v/>
      </c>
      <c r="E18" s="7">
        <f>'Lịch thi đấu'!F26</f>
        <v/>
      </c>
      <c r="F18" s="4" t="n"/>
      <c r="G18" s="4" t="n"/>
      <c r="H18" s="9" t="n"/>
      <c r="I18" s="12">
        <f>IF(H18&lt;&gt;"",H18,IF(OR(F18="",G18=""),"",IF(F18&gt;G18,D18,IF(G18&gt;F18,E18,"Hòa"))))</f>
        <v/>
      </c>
      <c r="J18" s="2">
        <f>IF(H18&lt;&gt;"",IF(H18=D18,E18,D18),IF(OR(F18="",G18=""),"",IF(F18&gt;G18,E18,IF(G18&gt;F18,D18,"Hòa"))))</f>
        <v/>
      </c>
      <c r="K18" s="13" t="n"/>
      <c r="L18" s="29">
        <f>IF($I18&lt;&gt;"","",IF($M18="Có","Có",""))</f>
        <v/>
      </c>
      <c r="M18" s="29" t="n"/>
    </row>
    <row r="19" ht="15" customHeight="1" s="31">
      <c r="A19" s="7">
        <f>'Lịch thi đấu'!A27</f>
        <v/>
      </c>
      <c r="B19" s="7">
        <f>'Lịch thi đấu'!B27</f>
        <v/>
      </c>
      <c r="C19" s="7">
        <f>'Lịch thi đấu'!C27</f>
        <v/>
      </c>
      <c r="D19" s="7">
        <f>'Lịch thi đấu'!E27</f>
        <v/>
      </c>
      <c r="E19" s="7">
        <f>'Lịch thi đấu'!F27</f>
        <v/>
      </c>
      <c r="F19" s="4" t="n"/>
      <c r="G19" s="4" t="n"/>
      <c r="H19" s="9" t="n"/>
      <c r="I19" s="12">
        <f>IF(H19&lt;&gt;"",H19,IF(OR(F19="",G19=""),"",IF(F19&gt;G19,D19,IF(G19&gt;F19,E19,"Hòa"))))</f>
        <v/>
      </c>
      <c r="J19" s="2">
        <f>IF(H19&lt;&gt;"",IF(H19=D19,E19,D19),IF(OR(F19="",G19=""),"",IF(F19&gt;G19,E19,IF(G19&gt;F19,D19,"Hòa"))))</f>
        <v/>
      </c>
      <c r="K19" s="13" t="n"/>
      <c r="L19" s="29">
        <f>IF($I19&lt;&gt;"","",IF($M19="Có","Có",""))</f>
        <v/>
      </c>
      <c r="M19" s="29" t="n"/>
    </row>
    <row r="20" ht="15" customHeight="1" s="31">
      <c r="A20" s="7">
        <f>'Lịch thi đấu'!A28</f>
        <v/>
      </c>
      <c r="B20" s="7">
        <f>'Lịch thi đấu'!B28</f>
        <v/>
      </c>
      <c r="C20" s="7">
        <f>'Lịch thi đấu'!C28</f>
        <v/>
      </c>
      <c r="D20" s="7">
        <f>'Lịch thi đấu'!E28</f>
        <v/>
      </c>
      <c r="E20" s="7">
        <f>'Lịch thi đấu'!F28</f>
        <v/>
      </c>
      <c r="F20" s="4" t="n"/>
      <c r="G20" s="4" t="n"/>
      <c r="H20" s="9" t="n"/>
      <c r="I20" s="12">
        <f>IF(H20&lt;&gt;"",H20,IF(OR(F20="",G20=""),"",IF(F20&gt;G20,D20,IF(G20&gt;F20,E20,"Hòa"))))</f>
        <v/>
      </c>
      <c r="J20" s="2">
        <f>IF(H20&lt;&gt;"",IF(H20=D20,E20,D20),IF(OR(F20="",G20=""),"",IF(F20&gt;G20,E20,IF(G20&gt;F20,D20,"Hòa"))))</f>
        <v/>
      </c>
      <c r="K20" s="13" t="n"/>
      <c r="L20" s="29">
        <f>IF($I20&lt;&gt;"","",IF($M20="Có","Có",""))</f>
        <v/>
      </c>
      <c r="M20" s="29" t="n"/>
    </row>
    <row r="21" ht="15" customHeight="1" s="31">
      <c r="A21" s="7">
        <f>'Lịch thi đấu'!A29</f>
        <v/>
      </c>
      <c r="B21" s="7">
        <f>'Lịch thi đấu'!B29</f>
        <v/>
      </c>
      <c r="C21" s="7">
        <f>'Lịch thi đấu'!C29</f>
        <v/>
      </c>
      <c r="D21" s="7">
        <f>'Lịch thi đấu'!E29</f>
        <v/>
      </c>
      <c r="E21" s="7">
        <f>'Lịch thi đấu'!F29</f>
        <v/>
      </c>
      <c r="F21" s="4" t="n"/>
      <c r="G21" s="4" t="n"/>
      <c r="H21" s="9" t="n"/>
      <c r="I21" s="12">
        <f>IF(H21&lt;&gt;"",H21,IF(OR(F21="",G21=""),"",IF(F21&gt;G21,D21,IF(G21&gt;F21,E21,"Hòa"))))</f>
        <v/>
      </c>
      <c r="J21" s="2">
        <f>IF(H21&lt;&gt;"",IF(H21=D21,E21,D21),IF(OR(F21="",G21=""),"",IF(F21&gt;G21,E21,IF(G21&gt;F21,D21,"Hòa"))))</f>
        <v/>
      </c>
      <c r="K21" s="13" t="n"/>
      <c r="L21" s="29">
        <f>IF($I21&lt;&gt;"","",IF($M21="Có","Có",""))</f>
        <v/>
      </c>
      <c r="M21" s="29" t="n"/>
    </row>
    <row r="22" ht="15" customHeight="1" s="31">
      <c r="A22" s="7">
        <f>'Lịch thi đấu'!A30</f>
        <v/>
      </c>
      <c r="B22" s="7">
        <f>'Lịch thi đấu'!B30</f>
        <v/>
      </c>
      <c r="C22" s="7">
        <f>'Lịch thi đấu'!C30</f>
        <v/>
      </c>
      <c r="D22" s="7">
        <f>'Lịch thi đấu'!E30</f>
        <v/>
      </c>
      <c r="E22" s="7">
        <f>'Lịch thi đấu'!F30</f>
        <v/>
      </c>
      <c r="F22" s="4" t="n"/>
      <c r="G22" s="4" t="n"/>
      <c r="H22" s="9" t="n"/>
      <c r="I22" s="12">
        <f>IF(H22&lt;&gt;"",H22,IF(OR(F22="",G22=""),"",IF(F22&gt;G22,D22,IF(G22&gt;F22,E22,"Hòa"))))</f>
        <v/>
      </c>
      <c r="J22" s="2">
        <f>IF(H22&lt;&gt;"",IF(H22=D22,E22,D22),IF(OR(F22="",G22=""),"",IF(F22&gt;G22,E22,IF(G22&gt;F22,D22,"Hòa"))))</f>
        <v/>
      </c>
      <c r="K22" s="13" t="n"/>
      <c r="L22" s="29">
        <f>IF($I22&lt;&gt;"","",IF($M22="Có","Có",""))</f>
        <v/>
      </c>
      <c r="M22" s="29" t="n"/>
    </row>
    <row r="23" ht="15" customHeight="1" s="31">
      <c r="A23" s="7">
        <f>'Lịch thi đấu'!A31</f>
        <v/>
      </c>
      <c r="B23" s="7">
        <f>'Lịch thi đấu'!B31</f>
        <v/>
      </c>
      <c r="C23" s="7">
        <f>'Lịch thi đấu'!C31</f>
        <v/>
      </c>
      <c r="D23" s="7">
        <f>'Lịch thi đấu'!E31</f>
        <v/>
      </c>
      <c r="E23" s="7">
        <f>'Lịch thi đấu'!F31</f>
        <v/>
      </c>
      <c r="F23" s="4" t="n"/>
      <c r="G23" s="4" t="n"/>
      <c r="H23" s="9" t="n"/>
      <c r="I23" s="12">
        <f>IF(H23&lt;&gt;"",H23,IF(OR(F23="",G23=""),"",IF(F23&gt;G23,D23,IF(G23&gt;F23,E23,"Hòa"))))</f>
        <v/>
      </c>
      <c r="J23" s="2">
        <f>IF(H23&lt;&gt;"",IF(H23=D23,E23,D23),IF(OR(F23="",G23=""),"",IF(F23&gt;G23,E23,IF(G23&gt;F23,D23,"Hòa"))))</f>
        <v/>
      </c>
      <c r="K23" s="13" t="n"/>
      <c r="L23" s="29">
        <f>IF($I23&lt;&gt;"","",IF($M23="Có","Có",""))</f>
        <v/>
      </c>
      <c r="M23" s="29" t="n"/>
    </row>
    <row r="24" ht="15" customHeight="1" s="31">
      <c r="A24" s="7">
        <f>'Lịch thi đấu'!A32</f>
        <v/>
      </c>
      <c r="B24" s="7">
        <f>'Lịch thi đấu'!B32</f>
        <v/>
      </c>
      <c r="C24" s="7">
        <f>'Lịch thi đấu'!C32</f>
        <v/>
      </c>
      <c r="D24" s="7">
        <f>'Lịch thi đấu'!E32</f>
        <v/>
      </c>
      <c r="E24" s="7">
        <f>'Lịch thi đấu'!F32</f>
        <v/>
      </c>
      <c r="F24" s="4" t="n"/>
      <c r="G24" s="4" t="n"/>
      <c r="H24" s="9" t="n"/>
      <c r="I24" s="12">
        <f>IF(H24&lt;&gt;"",H24,IF(OR(F24="",G24=""),"",IF(F24&gt;G24,D24,IF(G24&gt;F24,E24,"Hòa"))))</f>
        <v/>
      </c>
      <c r="J24" s="2">
        <f>IF(H24&lt;&gt;"",IF(H24=D24,E24,D24),IF(OR(F24="",G24=""),"",IF(F24&gt;G24,E24,IF(G24&gt;F24,D24,"Hòa"))))</f>
        <v/>
      </c>
      <c r="K24" s="13" t="n"/>
      <c r="L24" s="29">
        <f>IF($I24&lt;&gt;"","",IF($M24="Có","Có",""))</f>
        <v/>
      </c>
      <c r="M24" s="29" t="n"/>
    </row>
    <row r="25" ht="15" customHeight="1" s="31">
      <c r="A25" s="7">
        <f>'Lịch thi đấu'!A33</f>
        <v/>
      </c>
      <c r="B25" s="7">
        <f>'Lịch thi đấu'!B33</f>
        <v/>
      </c>
      <c r="C25" s="7">
        <f>'Lịch thi đấu'!C33</f>
        <v/>
      </c>
      <c r="D25" s="7">
        <f>'Lịch thi đấu'!E33</f>
        <v/>
      </c>
      <c r="E25" s="7">
        <f>'Lịch thi đấu'!F33</f>
        <v/>
      </c>
      <c r="F25" s="4" t="n"/>
      <c r="G25" s="4" t="n"/>
      <c r="H25" s="9" t="n"/>
      <c r="I25" s="12">
        <f>IF(H25&lt;&gt;"",H25,IF(OR(F25="",G25=""),"",IF(F25&gt;G25,D25,IF(G25&gt;F25,E25,"Hòa"))))</f>
        <v/>
      </c>
      <c r="J25" s="2">
        <f>IF(H25&lt;&gt;"",IF(H25=D25,E25,D25),IF(OR(F25="",G25=""),"",IF(F25&gt;G25,E25,IF(G25&gt;F25,D25,"Hòa"))))</f>
        <v/>
      </c>
      <c r="K25" s="13" t="n"/>
      <c r="L25" s="29">
        <f>IF($I25&lt;&gt;"","",IF($M25="Có","Có",""))</f>
        <v/>
      </c>
      <c r="M25" s="29" t="n"/>
    </row>
    <row r="26" ht="15" customHeight="1" s="31">
      <c r="A26" s="7">
        <f>'Lịch thi đấu'!A34</f>
        <v/>
      </c>
      <c r="B26" s="7">
        <f>'Lịch thi đấu'!B34</f>
        <v/>
      </c>
      <c r="C26" s="7">
        <f>'Lịch thi đấu'!C34</f>
        <v/>
      </c>
      <c r="D26" s="7">
        <f>'Lịch thi đấu'!E34</f>
        <v/>
      </c>
      <c r="E26" s="7">
        <f>'Lịch thi đấu'!F34</f>
        <v/>
      </c>
      <c r="F26" s="4" t="n"/>
      <c r="G26" s="4" t="n"/>
      <c r="H26" s="9" t="n"/>
      <c r="I26" s="12">
        <f>IF(H26&lt;&gt;"",H26,IF(OR(F26="",G26=""),"",IF(F26&gt;G26,D26,IF(G26&gt;F26,E26,"Hòa"))))</f>
        <v/>
      </c>
      <c r="J26" s="2">
        <f>IF(H26&lt;&gt;"",IF(H26=D26,E26,D26),IF(OR(F26="",G26=""),"",IF(F26&gt;G26,E26,IF(G26&gt;F26,D26,"Hòa"))))</f>
        <v/>
      </c>
      <c r="K26" s="13" t="n"/>
      <c r="L26" s="29">
        <f>IF($I26&lt;&gt;"","",IF($M26="Có","Có",""))</f>
        <v/>
      </c>
      <c r="M26" s="29" t="n"/>
    </row>
    <row r="27" ht="15" customHeight="1" s="31">
      <c r="A27" s="7">
        <f>'Lịch thi đấu'!A35</f>
        <v/>
      </c>
      <c r="B27" s="7">
        <f>'Lịch thi đấu'!B35</f>
        <v/>
      </c>
      <c r="C27" s="7">
        <f>'Lịch thi đấu'!C35</f>
        <v/>
      </c>
      <c r="D27" s="7">
        <f>'Lịch thi đấu'!E35</f>
        <v/>
      </c>
      <c r="E27" s="7">
        <f>'Lịch thi đấu'!F35</f>
        <v/>
      </c>
      <c r="F27" s="4" t="n"/>
      <c r="G27" s="4" t="n"/>
      <c r="H27" s="9" t="n"/>
      <c r="I27" s="12">
        <f>IF(H27&lt;&gt;"",H27,IF(OR(F27="",G27=""),"",IF(F27&gt;G27,D27,IF(G27&gt;F27,E27,"Hòa"))))</f>
        <v/>
      </c>
      <c r="J27" s="2">
        <f>IF(H27&lt;&gt;"",IF(H27=D27,E27,D27),IF(OR(F27="",G27=""),"",IF(F27&gt;G27,E27,IF(G27&gt;F27,D27,"Hòa"))))</f>
        <v/>
      </c>
      <c r="K27" s="13" t="n"/>
      <c r="L27" s="29">
        <f>IF($I27&lt;&gt;"","",IF($M27="Có","Có",""))</f>
        <v/>
      </c>
      <c r="M27" s="29" t="n"/>
    </row>
    <row r="28" ht="15" customHeight="1" s="31">
      <c r="A28" s="7">
        <f>'Lịch thi đấu'!A36</f>
        <v/>
      </c>
      <c r="B28" s="7">
        <f>'Lịch thi đấu'!B36</f>
        <v/>
      </c>
      <c r="C28" s="7">
        <f>'Lịch thi đấu'!C36</f>
        <v/>
      </c>
      <c r="D28" s="7">
        <f>'Lịch thi đấu'!E36</f>
        <v/>
      </c>
      <c r="E28" s="7">
        <f>'Lịch thi đấu'!F36</f>
        <v/>
      </c>
      <c r="F28" s="4" t="n"/>
      <c r="G28" s="4" t="n"/>
      <c r="H28" s="9" t="n"/>
      <c r="I28" s="12">
        <f>IF(H28&lt;&gt;"",H28,IF(OR(F28="",G28=""),"",IF(F28&gt;G28,D28,IF(G28&gt;F28,E28,"Hòa"))))</f>
        <v/>
      </c>
      <c r="J28" s="2">
        <f>IF(H28&lt;&gt;"",IF(H28=D28,E28,D28),IF(OR(F28="",G28=""),"",IF(F28&gt;G28,E28,IF(G28&gt;F28,D28,"Hòa"))))</f>
        <v/>
      </c>
      <c r="K28" s="13" t="n"/>
      <c r="L28" s="29">
        <f>IF($I28&lt;&gt;"","",IF($M28="Có","Có",""))</f>
        <v/>
      </c>
      <c r="M28" s="29" t="n"/>
    </row>
    <row r="29" ht="15" customHeight="1" s="31">
      <c r="A29" s="7">
        <f>'Lịch thi đấu'!A37</f>
        <v/>
      </c>
      <c r="B29" s="7">
        <f>'Lịch thi đấu'!B37</f>
        <v/>
      </c>
      <c r="C29" s="7">
        <f>'Lịch thi đấu'!C37</f>
        <v/>
      </c>
      <c r="D29" s="7">
        <f>'Lịch thi đấu'!E37</f>
        <v/>
      </c>
      <c r="E29" s="7">
        <f>'Lịch thi đấu'!F37</f>
        <v/>
      </c>
      <c r="F29" s="4" t="n"/>
      <c r="G29" s="4" t="n"/>
      <c r="H29" s="9" t="n"/>
      <c r="I29" s="12">
        <f>IF(H29&lt;&gt;"",H29,IF(OR(F29="",G29=""),"",IF(F29&gt;G29,D29,IF(G29&gt;F29,E29,"Hòa"))))</f>
        <v/>
      </c>
      <c r="J29" s="2">
        <f>IF(H29&lt;&gt;"",IF(H29=D29,E29,D29),IF(OR(F29="",G29=""),"",IF(F29&gt;G29,E29,IF(G29&gt;F29,D29,"Hòa"))))</f>
        <v/>
      </c>
      <c r="K29" s="13" t="n"/>
      <c r="L29" s="29">
        <f>IF($I29&lt;&gt;"","",IF($M29="Có","Có",""))</f>
        <v/>
      </c>
      <c r="M29" s="29" t="n"/>
    </row>
    <row r="30" ht="15" customHeight="1" s="31">
      <c r="A30" s="7">
        <f>'Lịch thi đấu'!A38</f>
        <v/>
      </c>
      <c r="B30" s="7">
        <f>'Lịch thi đấu'!B38</f>
        <v/>
      </c>
      <c r="C30" s="7">
        <f>'Lịch thi đấu'!C38</f>
        <v/>
      </c>
      <c r="D30" s="7">
        <f>'Lịch thi đấu'!E38</f>
        <v/>
      </c>
      <c r="E30" s="7">
        <f>'Lịch thi đấu'!F38</f>
        <v/>
      </c>
      <c r="F30" s="4" t="n"/>
      <c r="G30" s="4" t="n"/>
      <c r="H30" s="9" t="n"/>
      <c r="I30" s="12">
        <f>IF(H30&lt;&gt;"",H30,IF(OR(F30="",G30=""),"",IF(F30&gt;G30,D30,IF(G30&gt;F30,E30,"Hòa"))))</f>
        <v/>
      </c>
      <c r="J30" s="2">
        <f>IF(H30&lt;&gt;"",IF(H30=D30,E30,D30),IF(OR(F30="",G30=""),"",IF(F30&gt;G30,E30,IF(G30&gt;F30,D30,"Hòa"))))</f>
        <v/>
      </c>
      <c r="K30" s="13" t="n"/>
      <c r="L30" s="29">
        <f>IF($I30&lt;&gt;"","",IF($M30="Có","Có",""))</f>
        <v/>
      </c>
      <c r="M30" s="29" t="n"/>
    </row>
    <row r="31" ht="15" customHeight="1" s="31">
      <c r="A31" s="7">
        <f>'Lịch thi đấu'!A39</f>
        <v/>
      </c>
      <c r="B31" s="7">
        <f>'Lịch thi đấu'!B39</f>
        <v/>
      </c>
      <c r="C31" s="7">
        <f>'Lịch thi đấu'!C39</f>
        <v/>
      </c>
      <c r="D31" s="7">
        <f>'Lịch thi đấu'!E39</f>
        <v/>
      </c>
      <c r="E31" s="7">
        <f>'Lịch thi đấu'!F39</f>
        <v/>
      </c>
      <c r="F31" s="4" t="n"/>
      <c r="G31" s="4" t="n"/>
      <c r="H31" s="9" t="n"/>
      <c r="I31" s="12">
        <f>IF(H31&lt;&gt;"",H31,IF(OR(F31="",G31=""),"",IF(F31&gt;G31,D31,IF(G31&gt;F31,E31,"Hòa"))))</f>
        <v/>
      </c>
      <c r="J31" s="2">
        <f>IF(H31&lt;&gt;"",IF(H31=D31,E31,D31),IF(OR(F31="",G31=""),"",IF(F31&gt;G31,E31,IF(G31&gt;F31,D31,"Hòa"))))</f>
        <v/>
      </c>
      <c r="K31" s="13" t="n"/>
      <c r="L31" s="29">
        <f>IF($I31&lt;&gt;"","",IF($M31="Có","Có",""))</f>
        <v/>
      </c>
      <c r="M31" s="29" t="n"/>
    </row>
    <row r="32" ht="15" customHeight="1" s="31">
      <c r="A32" s="7">
        <f>'Lịch thi đấu'!A40</f>
        <v/>
      </c>
      <c r="B32" s="7">
        <f>'Lịch thi đấu'!B40</f>
        <v/>
      </c>
      <c r="C32" s="7">
        <f>'Lịch thi đấu'!C40</f>
        <v/>
      </c>
      <c r="D32" s="7">
        <f>'Lịch thi đấu'!E40</f>
        <v/>
      </c>
      <c r="E32" s="7">
        <f>'Lịch thi đấu'!F40</f>
        <v/>
      </c>
      <c r="F32" s="4" t="n"/>
      <c r="G32" s="4" t="n"/>
      <c r="H32" s="9" t="n"/>
      <c r="I32" s="12">
        <f>IF(H32&lt;&gt;"",H32,IF(OR(F32="",G32=""),"",IF(F32&gt;G32,D32,IF(G32&gt;F32,E32,"Hòa"))))</f>
        <v/>
      </c>
      <c r="J32" s="2">
        <f>IF(H32&lt;&gt;"",IF(H32=D32,E32,D32),IF(OR(F32="",G32=""),"",IF(F32&gt;G32,E32,IF(G32&gt;F32,D32,"Hòa"))))</f>
        <v/>
      </c>
      <c r="K32" s="13" t="n"/>
      <c r="L32" s="29">
        <f>IF($I32&lt;&gt;"","",IF($M32="Có","Có",""))</f>
        <v/>
      </c>
      <c r="M32" s="29" t="n"/>
    </row>
    <row r="33" ht="15" customHeight="1" s="31">
      <c r="A33" s="7">
        <f>'Lịch thi đấu'!A41</f>
        <v/>
      </c>
      <c r="B33" s="7">
        <f>'Lịch thi đấu'!B41</f>
        <v/>
      </c>
      <c r="C33" s="7">
        <f>'Lịch thi đấu'!C41</f>
        <v/>
      </c>
      <c r="D33" s="7">
        <f>'Lịch thi đấu'!E41</f>
        <v/>
      </c>
      <c r="E33" s="7">
        <f>'Lịch thi đấu'!F41</f>
        <v/>
      </c>
      <c r="F33" s="4" t="n"/>
      <c r="G33" s="4" t="n"/>
      <c r="H33" s="9" t="n"/>
      <c r="I33" s="12">
        <f>IF(H33&lt;&gt;"",H33,IF(OR(F33="",G33=""),"",IF(F33&gt;G33,D33,IF(G33&gt;F33,E33,"Hòa"))))</f>
        <v/>
      </c>
      <c r="J33" s="2">
        <f>IF(H33&lt;&gt;"",IF(H33=D33,E33,D33),IF(OR(F33="",G33=""),"",IF(F33&gt;G33,E33,IF(G33&gt;F33,D33,"Hòa"))))</f>
        <v/>
      </c>
      <c r="K33" s="13" t="n"/>
      <c r="L33" s="29">
        <f>IF($I33&lt;&gt;"","",IF($M33="Có","Có",""))</f>
        <v/>
      </c>
      <c r="M33" s="29" t="n"/>
    </row>
    <row r="34" ht="15" customHeight="1" s="31">
      <c r="A34" s="7">
        <f>'Lịch thi đấu'!A42</f>
        <v/>
      </c>
      <c r="B34" s="7">
        <f>'Lịch thi đấu'!B42</f>
        <v/>
      </c>
      <c r="C34" s="7">
        <f>'Lịch thi đấu'!C42</f>
        <v/>
      </c>
      <c r="D34" s="7">
        <f>'Lịch thi đấu'!E42</f>
        <v/>
      </c>
      <c r="E34" s="7">
        <f>'Lịch thi đấu'!F42</f>
        <v/>
      </c>
      <c r="F34" s="4" t="n"/>
      <c r="G34" s="4" t="n"/>
      <c r="H34" s="9" t="n"/>
      <c r="I34" s="12">
        <f>IF(H34&lt;&gt;"",H34,IF(OR(F34="",G34=""),"",IF(F34&gt;G34,D34,IF(G34&gt;F34,E34,"Hòa"))))</f>
        <v/>
      </c>
      <c r="J34" s="2">
        <f>IF(H34&lt;&gt;"",IF(H34=D34,E34,D34),IF(OR(F34="",G34=""),"",IF(F34&gt;G34,E34,IF(G34&gt;F34,D34,"Hòa"))))</f>
        <v/>
      </c>
      <c r="K34" s="13" t="n"/>
      <c r="L34" s="29">
        <f>IF($I34&lt;&gt;"","",IF($M34="Có","Có",""))</f>
        <v/>
      </c>
      <c r="M34" s="29" t="n"/>
    </row>
    <row r="36" ht="15.75" customHeight="1" s="31">
      <c r="A36" s="38" t="inlineStr">
        <is>
          <t>CHI TIẾT GHI BÀN — BÓNG NÉ (dùng để xét giải Cầu thủ xuất sắc nhất)</t>
        </is>
      </c>
    </row>
    <row r="37" ht="15" customHeight="1" s="31">
      <c r="A37" s="37" t="inlineStr">
        <is>
          <t>Mỗi dòng = 1 người ghi bàn. Một trận có bao nhiêu người ghi bàn thì thêm bấy nhiêu dòng cùng "Trận" — không giới hạn số dòng/trận.</t>
        </is>
      </c>
    </row>
    <row r="39" ht="25.5" customHeight="1" s="31">
      <c r="A39" s="1" t="inlineStr">
        <is>
          <t>STT</t>
        </is>
      </c>
      <c r="B39" s="1" t="inlineStr">
        <is>
          <t>Trận (Giai đoạn)</t>
        </is>
      </c>
      <c r="C39" s="1" t="inlineStr">
        <is>
          <t>Đội</t>
        </is>
      </c>
      <c r="D39" s="1" t="inlineStr">
        <is>
          <t>Tên cầu thủ</t>
        </is>
      </c>
      <c r="E39" s="1" t="inlineStr">
        <is>
          <t>Số bàn</t>
        </is>
      </c>
      <c r="F39" s="14" t="inlineStr">
        <is>
          <t>Mã tên
(phụ trợ)</t>
        </is>
      </c>
    </row>
    <row r="40" ht="15" customHeight="1" s="31">
      <c r="A40" s="2" t="n">
        <v>1</v>
      </c>
      <c r="B40" s="4" t="n"/>
      <c r="C40" s="4" t="n"/>
      <c r="D40" s="4" t="n"/>
      <c r="E40" s="4" t="n"/>
      <c r="F40" s="15">
        <f>IF(D40="","",IF(COUNTIF($D$40:D40,D40)=1,COUNT($F$39:F39)+1,""))</f>
        <v/>
      </c>
    </row>
    <row r="41" ht="15" customHeight="1" s="31">
      <c r="A41" s="2" t="n">
        <v>2</v>
      </c>
      <c r="B41" s="4" t="n"/>
      <c r="C41" s="4" t="n"/>
      <c r="D41" s="4" t="n"/>
      <c r="E41" s="4" t="n"/>
      <c r="F41" s="15">
        <f>IF(D41="","",IF(COUNTIF($D$40:D41,D41)=1,COUNT($F$39:F40)+1,""))</f>
        <v/>
      </c>
    </row>
    <row r="42" ht="15" customHeight="1" s="31">
      <c r="A42" s="2" t="n">
        <v>3</v>
      </c>
      <c r="B42" s="4" t="n"/>
      <c r="C42" s="4" t="n"/>
      <c r="D42" s="4" t="n"/>
      <c r="E42" s="4" t="n"/>
      <c r="F42" s="15">
        <f>IF(D42="","",IF(COUNTIF($D$40:D42,D42)=1,COUNT($F$39:F41)+1,""))</f>
        <v/>
      </c>
    </row>
    <row r="43" ht="15" customHeight="1" s="31">
      <c r="A43" s="2" t="n">
        <v>4</v>
      </c>
      <c r="B43" s="4" t="n"/>
      <c r="C43" s="4" t="n"/>
      <c r="D43" s="4" t="n"/>
      <c r="E43" s="4" t="n"/>
      <c r="F43" s="15">
        <f>IF(D43="","",IF(COUNTIF($D$40:D43,D43)=1,COUNT($F$39:F42)+1,""))</f>
        <v/>
      </c>
    </row>
    <row r="44" ht="15" customHeight="1" s="31">
      <c r="A44" s="2" t="n">
        <v>5</v>
      </c>
      <c r="B44" s="4" t="n"/>
      <c r="C44" s="4" t="n"/>
      <c r="D44" s="4" t="n"/>
      <c r="E44" s="4" t="n"/>
      <c r="F44" s="15">
        <f>IF(D44="","",IF(COUNTIF($D$40:D44,D44)=1,COUNT($F$39:F43)+1,""))</f>
        <v/>
      </c>
    </row>
    <row r="45" ht="15" customHeight="1" s="31">
      <c r="A45" s="2" t="n">
        <v>6</v>
      </c>
      <c r="B45" s="4" t="n"/>
      <c r="C45" s="4" t="n"/>
      <c r="D45" s="4" t="n"/>
      <c r="E45" s="4" t="n"/>
      <c r="F45" s="15">
        <f>IF(D45="","",IF(COUNTIF($D$40:D45,D45)=1,COUNT($F$39:F44)+1,""))</f>
        <v/>
      </c>
    </row>
    <row r="46" ht="15" customHeight="1" s="31">
      <c r="A46" s="2" t="n">
        <v>7</v>
      </c>
      <c r="B46" s="4" t="n"/>
      <c r="C46" s="4" t="n"/>
      <c r="D46" s="4" t="n"/>
      <c r="E46" s="4" t="n"/>
      <c r="F46" s="15">
        <f>IF(D46="","",IF(COUNTIF($D$40:D46,D46)=1,COUNT($F$39:F45)+1,""))</f>
        <v/>
      </c>
    </row>
    <row r="47" ht="15" customHeight="1" s="31">
      <c r="A47" s="2" t="n">
        <v>8</v>
      </c>
      <c r="B47" s="4" t="n"/>
      <c r="C47" s="4" t="n"/>
      <c r="D47" s="4" t="n"/>
      <c r="E47" s="4" t="n"/>
      <c r="F47" s="15">
        <f>IF(D47="","",IF(COUNTIF($D$40:D47,D47)=1,COUNT($F$39:F46)+1,""))</f>
        <v/>
      </c>
    </row>
    <row r="48" ht="15" customHeight="1" s="31">
      <c r="A48" s="2" t="n">
        <v>9</v>
      </c>
      <c r="B48" s="4" t="n"/>
      <c r="C48" s="4" t="n"/>
      <c r="D48" s="4" t="n"/>
      <c r="E48" s="4" t="n"/>
      <c r="F48" s="15">
        <f>IF(D48="","",IF(COUNTIF($D$40:D48,D48)=1,COUNT($F$39:F47)+1,""))</f>
        <v/>
      </c>
    </row>
    <row r="49" ht="15" customHeight="1" s="31">
      <c r="A49" s="2" t="n">
        <v>10</v>
      </c>
      <c r="B49" s="4" t="n"/>
      <c r="C49" s="4" t="n"/>
      <c r="D49" s="4" t="n"/>
      <c r="E49" s="4" t="n"/>
      <c r="F49" s="15">
        <f>IF(D49="","",IF(COUNTIF($D$40:D49,D49)=1,COUNT($F$39:F48)+1,""))</f>
        <v/>
      </c>
    </row>
    <row r="50" ht="15" customHeight="1" s="31">
      <c r="A50" s="2" t="n">
        <v>11</v>
      </c>
      <c r="B50" s="4" t="n"/>
      <c r="C50" s="4" t="n"/>
      <c r="D50" s="4" t="n"/>
      <c r="E50" s="4" t="n"/>
      <c r="F50" s="15">
        <f>IF(D50="","",IF(COUNTIF($D$40:D50,D50)=1,COUNT($F$39:F49)+1,""))</f>
        <v/>
      </c>
    </row>
    <row r="51" ht="15" customHeight="1" s="31">
      <c r="A51" s="2" t="n">
        <v>12</v>
      </c>
      <c r="B51" s="4" t="n"/>
      <c r="C51" s="4" t="n"/>
      <c r="D51" s="4" t="n"/>
      <c r="E51" s="4" t="n"/>
      <c r="F51" s="15">
        <f>IF(D51="","",IF(COUNTIF($D$40:D51,D51)=1,COUNT($F$39:F50)+1,""))</f>
        <v/>
      </c>
    </row>
    <row r="52" ht="15" customHeight="1" s="31">
      <c r="A52" s="2" t="n">
        <v>13</v>
      </c>
      <c r="B52" s="4" t="n"/>
      <c r="C52" s="4" t="n"/>
      <c r="D52" s="4" t="n"/>
      <c r="E52" s="4" t="n"/>
      <c r="F52" s="15">
        <f>IF(D52="","",IF(COUNTIF($D$40:D52,D52)=1,COUNT($F$39:F51)+1,""))</f>
        <v/>
      </c>
    </row>
    <row r="53" ht="15" customHeight="1" s="31">
      <c r="A53" s="2" t="n">
        <v>14</v>
      </c>
      <c r="B53" s="4" t="n"/>
      <c r="C53" s="4" t="n"/>
      <c r="D53" s="4" t="n"/>
      <c r="E53" s="4" t="n"/>
      <c r="F53" s="15">
        <f>IF(D53="","",IF(COUNTIF($D$40:D53,D53)=1,COUNT($F$39:F52)+1,""))</f>
        <v/>
      </c>
    </row>
    <row r="54" ht="15" customHeight="1" s="31">
      <c r="A54" s="2" t="n">
        <v>15</v>
      </c>
      <c r="B54" s="4" t="n"/>
      <c r="C54" s="4" t="n"/>
      <c r="D54" s="4" t="n"/>
      <c r="E54" s="4" t="n"/>
      <c r="F54" s="15">
        <f>IF(D54="","",IF(COUNTIF($D$40:D54,D54)=1,COUNT($F$39:F53)+1,""))</f>
        <v/>
      </c>
    </row>
    <row r="55" ht="15" customHeight="1" s="31">
      <c r="A55" s="2" t="n">
        <v>16</v>
      </c>
      <c r="B55" s="4" t="n"/>
      <c r="C55" s="4" t="n"/>
      <c r="D55" s="4" t="n"/>
      <c r="E55" s="4" t="n"/>
      <c r="F55" s="15">
        <f>IF(D55="","",IF(COUNTIF($D$40:D55,D55)=1,COUNT($F$39:F54)+1,""))</f>
        <v/>
      </c>
    </row>
    <row r="56" ht="15" customHeight="1" s="31">
      <c r="A56" s="2" t="n">
        <v>17</v>
      </c>
      <c r="B56" s="4" t="n"/>
      <c r="C56" s="4" t="n"/>
      <c r="D56" s="4" t="n"/>
      <c r="E56" s="4" t="n"/>
      <c r="F56" s="15">
        <f>IF(D56="","",IF(COUNTIF($D$40:D56,D56)=1,COUNT($F$39:F55)+1,""))</f>
        <v/>
      </c>
    </row>
    <row r="57" ht="15" customHeight="1" s="31">
      <c r="A57" s="2" t="n">
        <v>18</v>
      </c>
      <c r="B57" s="4" t="n"/>
      <c r="C57" s="4" t="n"/>
      <c r="D57" s="4" t="n"/>
      <c r="E57" s="4" t="n"/>
      <c r="F57" s="15">
        <f>IF(D57="","",IF(COUNTIF($D$40:D57,D57)=1,COUNT($F$39:F56)+1,""))</f>
        <v/>
      </c>
    </row>
    <row r="58" ht="15" customHeight="1" s="31">
      <c r="A58" s="2" t="n">
        <v>19</v>
      </c>
      <c r="B58" s="4" t="n"/>
      <c r="C58" s="4" t="n"/>
      <c r="D58" s="4" t="n"/>
      <c r="E58" s="4" t="n"/>
      <c r="F58" s="15">
        <f>IF(D58="","",IF(COUNTIF($D$40:D58,D58)=1,COUNT($F$39:F57)+1,""))</f>
        <v/>
      </c>
    </row>
    <row r="59" ht="15" customHeight="1" s="31">
      <c r="A59" s="2" t="n">
        <v>20</v>
      </c>
      <c r="B59" s="4" t="n"/>
      <c r="C59" s="4" t="n"/>
      <c r="D59" s="4" t="n"/>
      <c r="E59" s="4" t="n"/>
      <c r="F59" s="15">
        <f>IF(D59="","",IF(COUNTIF($D$40:D59,D59)=1,COUNT($F$39:F58)+1,""))</f>
        <v/>
      </c>
    </row>
    <row r="60" ht="15" customHeight="1" s="31">
      <c r="A60" s="2" t="n">
        <v>21</v>
      </c>
      <c r="B60" s="4" t="n"/>
      <c r="C60" s="4" t="n"/>
      <c r="D60" s="4" t="n"/>
      <c r="E60" s="4" t="n"/>
      <c r="F60" s="15">
        <f>IF(D60="","",IF(COUNTIF($D$40:D60,D60)=1,COUNT($F$39:F59)+1,""))</f>
        <v/>
      </c>
    </row>
    <row r="61" ht="15" customHeight="1" s="31">
      <c r="A61" s="2" t="n">
        <v>22</v>
      </c>
      <c r="B61" s="4" t="n"/>
      <c r="C61" s="4" t="n"/>
      <c r="D61" s="4" t="n"/>
      <c r="E61" s="4" t="n"/>
      <c r="F61" s="15">
        <f>IF(D61="","",IF(COUNTIF($D$40:D61,D61)=1,COUNT($F$39:F60)+1,""))</f>
        <v/>
      </c>
    </row>
    <row r="62" ht="15" customHeight="1" s="31">
      <c r="A62" s="2" t="n">
        <v>23</v>
      </c>
      <c r="B62" s="4" t="n"/>
      <c r="C62" s="4" t="n"/>
      <c r="D62" s="4" t="n"/>
      <c r="E62" s="4" t="n"/>
      <c r="F62" s="15">
        <f>IF(D62="","",IF(COUNTIF($D$40:D62,D62)=1,COUNT($F$39:F61)+1,""))</f>
        <v/>
      </c>
    </row>
    <row r="63" ht="15" customHeight="1" s="31">
      <c r="A63" s="2" t="n">
        <v>24</v>
      </c>
      <c r="B63" s="4" t="n"/>
      <c r="C63" s="4" t="n"/>
      <c r="D63" s="4" t="n"/>
      <c r="E63" s="4" t="n"/>
      <c r="F63" s="15">
        <f>IF(D63="","",IF(COUNTIF($D$40:D63,D63)=1,COUNT($F$39:F62)+1,""))</f>
        <v/>
      </c>
    </row>
    <row r="64" ht="15" customHeight="1" s="31">
      <c r="A64" s="2" t="n">
        <v>25</v>
      </c>
      <c r="B64" s="4" t="n"/>
      <c r="C64" s="4" t="n"/>
      <c r="D64" s="4" t="n"/>
      <c r="E64" s="4" t="n"/>
      <c r="F64" s="15">
        <f>IF(D64="","",IF(COUNTIF($D$40:D64,D64)=1,COUNT($F$39:F63)+1,""))</f>
        <v/>
      </c>
    </row>
    <row r="65" ht="15" customHeight="1" s="31">
      <c r="A65" s="2" t="n">
        <v>26</v>
      </c>
      <c r="B65" s="4" t="n"/>
      <c r="C65" s="4" t="n"/>
      <c r="D65" s="4" t="n"/>
      <c r="E65" s="4" t="n"/>
      <c r="F65" s="15">
        <f>IF(D65="","",IF(COUNTIF($D$40:D65,D65)=1,COUNT($F$39:F64)+1,""))</f>
        <v/>
      </c>
    </row>
    <row r="66" ht="15" customHeight="1" s="31">
      <c r="A66" s="2" t="n">
        <v>27</v>
      </c>
      <c r="B66" s="4" t="n"/>
      <c r="C66" s="4" t="n"/>
      <c r="D66" s="4" t="n"/>
      <c r="E66" s="4" t="n"/>
      <c r="F66" s="15">
        <f>IF(D66="","",IF(COUNTIF($D$40:D66,D66)=1,COUNT($F$39:F65)+1,""))</f>
        <v/>
      </c>
    </row>
    <row r="67" ht="15" customHeight="1" s="31">
      <c r="A67" s="2" t="n">
        <v>28</v>
      </c>
      <c r="B67" s="4" t="n"/>
      <c r="C67" s="4" t="n"/>
      <c r="D67" s="4" t="n"/>
      <c r="E67" s="4" t="n"/>
      <c r="F67" s="15">
        <f>IF(D67="","",IF(COUNTIF($D$40:D67,D67)=1,COUNT($F$39:F66)+1,""))</f>
        <v/>
      </c>
    </row>
    <row r="68" ht="15" customHeight="1" s="31">
      <c r="A68" s="2" t="n">
        <v>29</v>
      </c>
      <c r="B68" s="4" t="n"/>
      <c r="C68" s="4" t="n"/>
      <c r="D68" s="4" t="n"/>
      <c r="E68" s="4" t="n"/>
      <c r="F68" s="15">
        <f>IF(D68="","",IF(COUNTIF($D$40:D68,D68)=1,COUNT($F$39:F67)+1,""))</f>
        <v/>
      </c>
    </row>
    <row r="69" ht="15" customHeight="1" s="31">
      <c r="A69" s="2" t="n">
        <v>30</v>
      </c>
      <c r="B69" s="4" t="n"/>
      <c r="C69" s="4" t="n"/>
      <c r="D69" s="4" t="n"/>
      <c r="E69" s="4" t="n"/>
      <c r="F69" s="15">
        <f>IF(D69="","",IF(COUNTIF($D$40:D69,D69)=1,COUNT($F$39:F68)+1,""))</f>
        <v/>
      </c>
    </row>
    <row r="70" ht="15" customHeight="1" s="31">
      <c r="A70" s="2" t="n">
        <v>31</v>
      </c>
      <c r="B70" s="4" t="n"/>
      <c r="C70" s="4" t="n"/>
      <c r="D70" s="4" t="n"/>
      <c r="E70" s="4" t="n"/>
      <c r="F70" s="15">
        <f>IF(D70="","",IF(COUNTIF($D$40:D70,D70)=1,COUNT($F$39:F69)+1,""))</f>
        <v/>
      </c>
    </row>
    <row r="71" ht="15" customHeight="1" s="31">
      <c r="A71" s="2" t="n">
        <v>32</v>
      </c>
      <c r="B71" s="4" t="n"/>
      <c r="C71" s="4" t="n"/>
      <c r="D71" s="4" t="n"/>
      <c r="E71" s="4" t="n"/>
      <c r="F71" s="15">
        <f>IF(D71="","",IF(COUNTIF($D$40:D71,D71)=1,COUNT($F$39:F70)+1,""))</f>
        <v/>
      </c>
    </row>
    <row r="72" ht="15" customHeight="1" s="31">
      <c r="A72" s="2" t="n">
        <v>33</v>
      </c>
      <c r="B72" s="4" t="n"/>
      <c r="C72" s="4" t="n"/>
      <c r="D72" s="4" t="n"/>
      <c r="E72" s="4" t="n"/>
      <c r="F72" s="15">
        <f>IF(D72="","",IF(COUNTIF($D$40:D72,D72)=1,COUNT($F$39:F71)+1,""))</f>
        <v/>
      </c>
    </row>
    <row r="73" ht="15" customHeight="1" s="31">
      <c r="A73" s="2" t="n">
        <v>34</v>
      </c>
      <c r="B73" s="4" t="n"/>
      <c r="C73" s="4" t="n"/>
      <c r="D73" s="4" t="n"/>
      <c r="E73" s="4" t="n"/>
      <c r="F73" s="15">
        <f>IF(D73="","",IF(COUNTIF($D$40:D73,D73)=1,COUNT($F$39:F72)+1,""))</f>
        <v/>
      </c>
    </row>
    <row r="74" ht="15" customHeight="1" s="31">
      <c r="A74" s="2" t="n">
        <v>35</v>
      </c>
      <c r="B74" s="4" t="n"/>
      <c r="C74" s="4" t="n"/>
      <c r="D74" s="4" t="n"/>
      <c r="E74" s="4" t="n"/>
      <c r="F74" s="15">
        <f>IF(D74="","",IF(COUNTIF($D$40:D74,D74)=1,COUNT($F$39:F73)+1,""))</f>
        <v/>
      </c>
    </row>
    <row r="75" ht="15" customHeight="1" s="31">
      <c r="A75" s="2" t="n">
        <v>36</v>
      </c>
      <c r="B75" s="4" t="n"/>
      <c r="C75" s="4" t="n"/>
      <c r="D75" s="4" t="n"/>
      <c r="E75" s="4" t="n"/>
      <c r="F75" s="15">
        <f>IF(D75="","",IF(COUNTIF($D$40:D75,D75)=1,COUNT($F$39:F74)+1,""))</f>
        <v/>
      </c>
    </row>
    <row r="76" ht="15" customHeight="1" s="31">
      <c r="A76" s="2" t="n">
        <v>37</v>
      </c>
      <c r="B76" s="4" t="n"/>
      <c r="C76" s="4" t="n"/>
      <c r="D76" s="4" t="n"/>
      <c r="E76" s="4" t="n"/>
      <c r="F76" s="15">
        <f>IF(D76="","",IF(COUNTIF($D$40:D76,D76)=1,COUNT($F$39:F75)+1,""))</f>
        <v/>
      </c>
    </row>
    <row r="77" ht="15" customHeight="1" s="31">
      <c r="A77" s="2" t="n">
        <v>38</v>
      </c>
      <c r="B77" s="4" t="n"/>
      <c r="C77" s="4" t="n"/>
      <c r="D77" s="4" t="n"/>
      <c r="E77" s="4" t="n"/>
      <c r="F77" s="15">
        <f>IF(D77="","",IF(COUNTIF($D$40:D77,D77)=1,COUNT($F$39:F76)+1,""))</f>
        <v/>
      </c>
    </row>
    <row r="78" ht="15" customHeight="1" s="31">
      <c r="A78" s="2" t="n">
        <v>39</v>
      </c>
      <c r="B78" s="4" t="n"/>
      <c r="C78" s="4" t="n"/>
      <c r="D78" s="4" t="n"/>
      <c r="E78" s="4" t="n"/>
      <c r="F78" s="15">
        <f>IF(D78="","",IF(COUNTIF($D$40:D78,D78)=1,COUNT($F$39:F77)+1,""))</f>
        <v/>
      </c>
    </row>
    <row r="79" ht="15" customHeight="1" s="31">
      <c r="A79" s="2" t="n">
        <v>40</v>
      </c>
      <c r="B79" s="4" t="n"/>
      <c r="C79" s="4" t="n"/>
      <c r="D79" s="4" t="n"/>
      <c r="E79" s="4" t="n"/>
      <c r="F79" s="15">
        <f>IF(D79="","",IF(COUNTIF($D$40:D79,D79)=1,COUNT($F$39:F78)+1,""))</f>
        <v/>
      </c>
    </row>
    <row r="80" ht="15" customHeight="1" s="31">
      <c r="A80" s="2" t="n">
        <v>41</v>
      </c>
      <c r="B80" s="4" t="n"/>
      <c r="C80" s="4" t="n"/>
      <c r="D80" s="4" t="n"/>
      <c r="E80" s="4" t="n"/>
      <c r="F80" s="15">
        <f>IF(D80="","",IF(COUNTIF($D$40:D80,D80)=1,COUNT($F$39:F79)+1,""))</f>
        <v/>
      </c>
    </row>
    <row r="81" ht="15" customHeight="1" s="31">
      <c r="A81" s="2" t="n">
        <v>42</v>
      </c>
      <c r="B81" s="4" t="n"/>
      <c r="C81" s="4" t="n"/>
      <c r="D81" s="4" t="n"/>
      <c r="E81" s="4" t="n"/>
      <c r="F81" s="15">
        <f>IF(D81="","",IF(COUNTIF($D$40:D81,D81)=1,COUNT($F$39:F80)+1,""))</f>
        <v/>
      </c>
    </row>
    <row r="82" ht="15" customHeight="1" s="31">
      <c r="A82" s="2" t="n">
        <v>43</v>
      </c>
      <c r="B82" s="4" t="n"/>
      <c r="C82" s="4" t="n"/>
      <c r="D82" s="4" t="n"/>
      <c r="E82" s="4" t="n"/>
      <c r="F82" s="15">
        <f>IF(D82="","",IF(COUNTIF($D$40:D82,D82)=1,COUNT($F$39:F81)+1,""))</f>
        <v/>
      </c>
    </row>
    <row r="83" ht="15" customHeight="1" s="31">
      <c r="A83" s="2" t="n">
        <v>44</v>
      </c>
      <c r="B83" s="4" t="n"/>
      <c r="C83" s="4" t="n"/>
      <c r="D83" s="4" t="n"/>
      <c r="E83" s="4" t="n"/>
      <c r="F83" s="15">
        <f>IF(D83="","",IF(COUNTIF($D$40:D83,D83)=1,COUNT($F$39:F82)+1,""))</f>
        <v/>
      </c>
    </row>
    <row r="84" ht="15" customHeight="1" s="31">
      <c r="A84" s="2" t="n">
        <v>45</v>
      </c>
      <c r="B84" s="4" t="n"/>
      <c r="C84" s="4" t="n"/>
      <c r="D84" s="4" t="n"/>
      <c r="E84" s="4" t="n"/>
      <c r="F84" s="15">
        <f>IF(D84="","",IF(COUNTIF($D$40:D84,D84)=1,COUNT($F$39:F83)+1,""))</f>
        <v/>
      </c>
    </row>
  </sheetData>
  <mergeCells count="5">
    <mergeCell ref="A3:K3"/>
    <mergeCell ref="A2:K2"/>
    <mergeCell ref="A37:E37"/>
    <mergeCell ref="A36:E36"/>
    <mergeCell ref="A1:K1"/>
  </mergeCells>
  <dataValidations count="2">
    <dataValidation sqref="H5:H34" showDropDown="0" showInputMessage="0" showErrorMessage="0" allowBlank="1" type="list">
      <formula1>$D5:$E5</formula1>
      <formula2>0</formula2>
    </dataValidation>
    <dataValidation sqref="M5:M34" showDropDown="0" showInputMessage="0" showErrorMessage="0" allowBlank="1" type="list">
      <formula1>"Có"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2" customWidth="1" style="31" min="1" max="1"/>
    <col width="16" customWidth="1" style="31" min="2" max="2"/>
    <col width="14" customWidth="1" style="31" min="3" max="3"/>
    <col width="10" customWidth="1" style="31" min="4" max="4"/>
    <col width="8" customWidth="1" style="31" min="5" max="8"/>
    <col width="14" customWidth="1" style="31" min="9" max="9"/>
  </cols>
  <sheetData>
    <row r="1" ht="19.5" customHeight="1" s="31">
      <c r="A1" s="30" t="inlineStr">
        <is>
          <t>TỔNG KẾT — BẢNG XẾP HẠNG</t>
        </is>
      </c>
    </row>
    <row r="2" ht="15" customHeight="1" s="31">
      <c r="A2" s="33" t="inlineStr">
        <is>
          <t>Tự động tính từ sheet 'Nhập kết quả' — Vòng bảng: Thắng 30 – Hòa 10 – Thua 0 điểm (theo luật chính thức)</t>
        </is>
      </c>
    </row>
    <row r="4" ht="15" customHeight="1" s="31">
      <c r="A4" s="39" t="inlineStr">
        <is>
          <t>1. Xếp hạng vòng bảng theo từng môn</t>
        </is>
      </c>
    </row>
    <row r="5" ht="23.25" customHeight="1" s="31">
      <c r="A5" s="1" t="inlineStr">
        <is>
          <t>Môn</t>
        </is>
      </c>
      <c r="B5" s="1" t="inlineStr">
        <is>
          <t>Bảng</t>
        </is>
      </c>
      <c r="C5" s="1" t="inlineStr">
        <is>
          <t>Đội</t>
        </is>
      </c>
      <c r="D5" s="1" t="inlineStr">
        <is>
          <t>Trận</t>
        </is>
      </c>
      <c r="E5" s="1" t="inlineStr">
        <is>
          <t>Thắng</t>
        </is>
      </c>
      <c r="F5" s="1" t="inlineStr">
        <is>
          <t>Hòa</t>
        </is>
      </c>
      <c r="G5" s="1" t="inlineStr">
        <is>
          <t>Thua</t>
        </is>
      </c>
      <c r="H5" s="1" t="inlineStr">
        <is>
          <t>Điểm</t>
        </is>
      </c>
      <c r="I5" s="1" t="inlineStr">
        <is>
          <t>Hạng trong bảng</t>
        </is>
      </c>
    </row>
    <row r="6" ht="15" customHeight="1" s="31">
      <c r="A6" s="2" t="inlineStr">
        <is>
          <t>Bóng né</t>
        </is>
      </c>
      <c r="B6" s="2" t="inlineStr">
        <is>
          <t>Bảng A</t>
        </is>
      </c>
      <c r="C6" s="7">
        <f>'Lịch thi đấu'!B6</f>
        <v/>
      </c>
      <c r="D6" s="7">
        <f>COUNTIF('Nhập kết quả'!$D$5:$D$16,$C6)+COUNTIF('Nhập kết quả'!$E$5:$E$16,$C6)</f>
        <v/>
      </c>
      <c r="E6" s="7">
        <f>COUNTIF('Nhập kết quả'!$I$5:$I$16,$C6)</f>
        <v/>
      </c>
      <c r="F6" s="2">
        <f>SUMPRODUCT((('Nhập kết quả'!$D$5:$D$16=$C6)+('Nhập kết quả'!$E$5:$E$16=$C6))*('Nhập kết quả'!$I$5:$I$16="Hòa"))</f>
        <v/>
      </c>
      <c r="G6" s="7">
        <f>COUNTIF('Nhập kết quả'!$J$5:$J$16,$C6)</f>
        <v/>
      </c>
      <c r="H6" s="12">
        <f>E6*30+F6*10</f>
        <v/>
      </c>
      <c r="I6" s="12">
        <f>RANK(H6,$H$6:$H$8)</f>
        <v/>
      </c>
    </row>
    <row r="7" ht="15" customHeight="1" s="31">
      <c r="A7" s="2" t="inlineStr">
        <is>
          <t>Bóng né</t>
        </is>
      </c>
      <c r="B7" s="2" t="inlineStr">
        <is>
          <t>Bảng A</t>
        </is>
      </c>
      <c r="C7" s="7">
        <f>'Lịch thi đấu'!C6</f>
        <v/>
      </c>
      <c r="D7" s="7">
        <f>COUNTIF('Nhập kết quả'!$D$5:$D$16,$C7)+COUNTIF('Nhập kết quả'!$E$5:$E$16,$C7)</f>
        <v/>
      </c>
      <c r="E7" s="7">
        <f>COUNTIF('Nhập kết quả'!$I$5:$I$16,$C7)</f>
        <v/>
      </c>
      <c r="F7" s="2">
        <f>SUMPRODUCT((('Nhập kết quả'!$D$5:$D$16=$C7)+('Nhập kết quả'!$E$5:$E$16=$C7))*('Nhập kết quả'!$I$5:$I$16="Hòa"))</f>
        <v/>
      </c>
      <c r="G7" s="7">
        <f>COUNTIF('Nhập kết quả'!$J$5:$J$16,$C7)</f>
        <v/>
      </c>
      <c r="H7" s="12">
        <f>E7*30+F7*10</f>
        <v/>
      </c>
      <c r="I7" s="12">
        <f>RANK(H7,$H$6:$H$8)</f>
        <v/>
      </c>
    </row>
    <row r="8" ht="15" customHeight="1" s="31">
      <c r="A8" s="2" t="inlineStr">
        <is>
          <t>Bóng né</t>
        </is>
      </c>
      <c r="B8" s="2" t="inlineStr">
        <is>
          <t>Bảng A</t>
        </is>
      </c>
      <c r="C8" s="7">
        <f>'Lịch thi đấu'!D6</f>
        <v/>
      </c>
      <c r="D8" s="7">
        <f>COUNTIF('Nhập kết quả'!$D$5:$D$16,$C8)+COUNTIF('Nhập kết quả'!$E$5:$E$16,$C8)</f>
        <v/>
      </c>
      <c r="E8" s="7">
        <f>COUNTIF('Nhập kết quả'!$I$5:$I$16,$C8)</f>
        <v/>
      </c>
      <c r="F8" s="2">
        <f>SUMPRODUCT((('Nhập kết quả'!$D$5:$D$16=$C8)+('Nhập kết quả'!$E$5:$E$16=$C8))*('Nhập kết quả'!$I$5:$I$16="Hòa"))</f>
        <v/>
      </c>
      <c r="G8" s="7">
        <f>COUNTIF('Nhập kết quả'!$J$5:$J$16,$C8)</f>
        <v/>
      </c>
      <c r="H8" s="12">
        <f>E8*30+F8*10</f>
        <v/>
      </c>
      <c r="I8" s="12">
        <f>RANK(H8,$H$6:$H$8)</f>
        <v/>
      </c>
    </row>
    <row r="9" ht="15" customHeight="1" s="31">
      <c r="A9" s="2" t="inlineStr">
        <is>
          <t>Bóng né</t>
        </is>
      </c>
      <c r="B9" s="2" t="inlineStr">
        <is>
          <t>Bảng B</t>
        </is>
      </c>
      <c r="C9" s="7">
        <f>'Lịch thi đấu'!B7</f>
        <v/>
      </c>
      <c r="D9" s="7">
        <f>COUNTIF('Nhập kết quả'!$D$5:$D$16,$C9)+COUNTIF('Nhập kết quả'!$E$5:$E$16,$C9)</f>
        <v/>
      </c>
      <c r="E9" s="7">
        <f>COUNTIF('Nhập kết quả'!$I$5:$I$16,$C9)</f>
        <v/>
      </c>
      <c r="F9" s="2">
        <f>SUMPRODUCT((('Nhập kết quả'!$D$5:$D$16=$C9)+('Nhập kết quả'!$E$5:$E$16=$C9))*('Nhập kết quả'!$I$5:$I$16="Hòa"))</f>
        <v/>
      </c>
      <c r="G9" s="7">
        <f>COUNTIF('Nhập kết quả'!$J$5:$J$16,$C9)</f>
        <v/>
      </c>
      <c r="H9" s="12">
        <f>E9*30+F9*10</f>
        <v/>
      </c>
      <c r="I9" s="12">
        <f>RANK(H9,$H$9:$H$11)</f>
        <v/>
      </c>
    </row>
    <row r="10" ht="15" customHeight="1" s="31">
      <c r="A10" s="2" t="inlineStr">
        <is>
          <t>Bóng né</t>
        </is>
      </c>
      <c r="B10" s="2" t="inlineStr">
        <is>
          <t>Bảng B</t>
        </is>
      </c>
      <c r="C10" s="7">
        <f>'Lịch thi đấu'!C7</f>
        <v/>
      </c>
      <c r="D10" s="7">
        <f>COUNTIF('Nhập kết quả'!$D$5:$D$16,$C10)+COUNTIF('Nhập kết quả'!$E$5:$E$16,$C10)</f>
        <v/>
      </c>
      <c r="E10" s="7">
        <f>COUNTIF('Nhập kết quả'!$I$5:$I$16,$C10)</f>
        <v/>
      </c>
      <c r="F10" s="2">
        <f>SUMPRODUCT((('Nhập kết quả'!$D$5:$D$16=$C10)+('Nhập kết quả'!$E$5:$E$16=$C10))*('Nhập kết quả'!$I$5:$I$16="Hòa"))</f>
        <v/>
      </c>
      <c r="G10" s="7">
        <f>COUNTIF('Nhập kết quả'!$J$5:$J$16,$C10)</f>
        <v/>
      </c>
      <c r="H10" s="12">
        <f>E10*30+F10*10</f>
        <v/>
      </c>
      <c r="I10" s="12">
        <f>RANK(H10,$H$9:$H$11)</f>
        <v/>
      </c>
    </row>
    <row r="11" ht="15" customHeight="1" s="31">
      <c r="A11" s="2" t="inlineStr">
        <is>
          <t>Bóng né</t>
        </is>
      </c>
      <c r="B11" s="2" t="inlineStr">
        <is>
          <t>Bảng B</t>
        </is>
      </c>
      <c r="C11" s="7">
        <f>'Lịch thi đấu'!D7</f>
        <v/>
      </c>
      <c r="D11" s="7">
        <f>COUNTIF('Nhập kết quả'!$D$5:$D$16,$C11)+COUNTIF('Nhập kết quả'!$E$5:$E$16,$C11)</f>
        <v/>
      </c>
      <c r="E11" s="7">
        <f>COUNTIF('Nhập kết quả'!$I$5:$I$16,$C11)</f>
        <v/>
      </c>
      <c r="F11" s="2">
        <f>SUMPRODUCT((('Nhập kết quả'!$D$5:$D$16=$C11)+('Nhập kết quả'!$E$5:$E$16=$C11))*('Nhập kết quả'!$I$5:$I$16="Hòa"))</f>
        <v/>
      </c>
      <c r="G11" s="7">
        <f>COUNTIF('Nhập kết quả'!$J$5:$J$16,$C11)</f>
        <v/>
      </c>
      <c r="H11" s="12">
        <f>E11*30+F11*10</f>
        <v/>
      </c>
      <c r="I11" s="12">
        <f>RANK(H11,$H$9:$H$11)</f>
        <v/>
      </c>
    </row>
    <row r="12" ht="15" customHeight="1" s="31">
      <c r="A12" s="2" t="inlineStr">
        <is>
          <t>Bóng né</t>
        </is>
      </c>
      <c r="B12" s="2" t="inlineStr">
        <is>
          <t>Bảng C</t>
        </is>
      </c>
      <c r="C12" s="7">
        <f>'Lịch thi đấu'!B8</f>
        <v/>
      </c>
      <c r="D12" s="7">
        <f>COUNTIF('Nhập kết quả'!$D$5:$D$16,$C12)+COUNTIF('Nhập kết quả'!$E$5:$E$16,$C12)</f>
        <v/>
      </c>
      <c r="E12" s="7">
        <f>COUNTIF('Nhập kết quả'!$I$5:$I$16,$C12)</f>
        <v/>
      </c>
      <c r="F12" s="2">
        <f>SUMPRODUCT((('Nhập kết quả'!$D$5:$D$16=$C12)+('Nhập kết quả'!$E$5:$E$16=$C12))*('Nhập kết quả'!$I$5:$I$16="Hòa"))</f>
        <v/>
      </c>
      <c r="G12" s="7">
        <f>COUNTIF('Nhập kết quả'!$J$5:$J$16,$C12)</f>
        <v/>
      </c>
      <c r="H12" s="12">
        <f>E12*30+F12*10</f>
        <v/>
      </c>
      <c r="I12" s="12">
        <f>RANK(H12,$H$12:$H$14)</f>
        <v/>
      </c>
    </row>
    <row r="13" ht="15" customHeight="1" s="31">
      <c r="A13" s="2" t="inlineStr">
        <is>
          <t>Bóng né</t>
        </is>
      </c>
      <c r="B13" s="2" t="inlineStr">
        <is>
          <t>Bảng C</t>
        </is>
      </c>
      <c r="C13" s="7">
        <f>'Lịch thi đấu'!C8</f>
        <v/>
      </c>
      <c r="D13" s="7">
        <f>COUNTIF('Nhập kết quả'!$D$5:$D$16,$C13)+COUNTIF('Nhập kết quả'!$E$5:$E$16,$C13)</f>
        <v/>
      </c>
      <c r="E13" s="7">
        <f>COUNTIF('Nhập kết quả'!$I$5:$I$16,$C13)</f>
        <v/>
      </c>
      <c r="F13" s="2">
        <f>SUMPRODUCT((('Nhập kết quả'!$D$5:$D$16=$C13)+('Nhập kết quả'!$E$5:$E$16=$C13))*('Nhập kết quả'!$I$5:$I$16="Hòa"))</f>
        <v/>
      </c>
      <c r="G13" s="7">
        <f>COUNTIF('Nhập kết quả'!$J$5:$J$16,$C13)</f>
        <v/>
      </c>
      <c r="H13" s="12">
        <f>E13*30+F13*10</f>
        <v/>
      </c>
      <c r="I13" s="12">
        <f>RANK(H13,$H$12:$H$14)</f>
        <v/>
      </c>
    </row>
    <row r="14" ht="15" customHeight="1" s="31">
      <c r="A14" s="2" t="inlineStr">
        <is>
          <t>Bóng né</t>
        </is>
      </c>
      <c r="B14" s="2" t="inlineStr">
        <is>
          <t>Bảng C</t>
        </is>
      </c>
      <c r="C14" s="7">
        <f>'Lịch thi đấu'!D8</f>
        <v/>
      </c>
      <c r="D14" s="7">
        <f>COUNTIF('Nhập kết quả'!$D$5:$D$16,$C14)+COUNTIF('Nhập kết quả'!$E$5:$E$16,$C14)</f>
        <v/>
      </c>
      <c r="E14" s="7">
        <f>COUNTIF('Nhập kết quả'!$I$5:$I$16,$C14)</f>
        <v/>
      </c>
      <c r="F14" s="2">
        <f>SUMPRODUCT((('Nhập kết quả'!$D$5:$D$16=$C14)+('Nhập kết quả'!$E$5:$E$16=$C14))*('Nhập kết quả'!$I$5:$I$16="Hòa"))</f>
        <v/>
      </c>
      <c r="G14" s="7">
        <f>COUNTIF('Nhập kết quả'!$J$5:$J$16,$C14)</f>
        <v/>
      </c>
      <c r="H14" s="12">
        <f>E14*30+F14*10</f>
        <v/>
      </c>
      <c r="I14" s="12">
        <f>RANK(H14,$H$12:$H$14)</f>
        <v/>
      </c>
    </row>
    <row r="15" ht="15" customHeight="1" s="31">
      <c r="A15" s="2" t="inlineStr">
        <is>
          <t>Bóng né</t>
        </is>
      </c>
      <c r="B15" s="2" t="inlineStr">
        <is>
          <t>Bảng D</t>
        </is>
      </c>
      <c r="C15" s="7">
        <f>'Lịch thi đấu'!B9</f>
        <v/>
      </c>
      <c r="D15" s="7">
        <f>COUNTIF('Nhập kết quả'!$D$5:$D$16,$C15)+COUNTIF('Nhập kết quả'!$E$5:$E$16,$C15)</f>
        <v/>
      </c>
      <c r="E15" s="7">
        <f>COUNTIF('Nhập kết quả'!$I$5:$I$16,$C15)</f>
        <v/>
      </c>
      <c r="F15" s="2">
        <f>SUMPRODUCT((('Nhập kết quả'!$D$5:$D$16=$C15)+('Nhập kết quả'!$E$5:$E$16=$C15))*('Nhập kết quả'!$I$5:$I$16="Hòa"))</f>
        <v/>
      </c>
      <c r="G15" s="7">
        <f>COUNTIF('Nhập kết quả'!$J$5:$J$16,$C15)</f>
        <v/>
      </c>
      <c r="H15" s="12">
        <f>E15*30+F15*10</f>
        <v/>
      </c>
      <c r="I15" s="12">
        <f>RANK(H15,$H$15:$H$17)</f>
        <v/>
      </c>
    </row>
    <row r="16" ht="15" customHeight="1" s="31">
      <c r="A16" s="2" t="inlineStr">
        <is>
          <t>Bóng né</t>
        </is>
      </c>
      <c r="B16" s="2" t="inlineStr">
        <is>
          <t>Bảng D</t>
        </is>
      </c>
      <c r="C16" s="7">
        <f>'Lịch thi đấu'!C9</f>
        <v/>
      </c>
      <c r="D16" s="7">
        <f>COUNTIF('Nhập kết quả'!$D$5:$D$16,$C16)+COUNTIF('Nhập kết quả'!$E$5:$E$16,$C16)</f>
        <v/>
      </c>
      <c r="E16" s="7">
        <f>COUNTIF('Nhập kết quả'!$I$5:$I$16,$C16)</f>
        <v/>
      </c>
      <c r="F16" s="2">
        <f>SUMPRODUCT((('Nhập kết quả'!$D$5:$D$16=$C16)+('Nhập kết quả'!$E$5:$E$16=$C16))*('Nhập kết quả'!$I$5:$I$16="Hòa"))</f>
        <v/>
      </c>
      <c r="G16" s="7">
        <f>COUNTIF('Nhập kết quả'!$J$5:$J$16,$C16)</f>
        <v/>
      </c>
      <c r="H16" s="12">
        <f>E16*30+F16*10</f>
        <v/>
      </c>
      <c r="I16" s="12">
        <f>RANK(H16,$H$15:$H$17)</f>
        <v/>
      </c>
    </row>
    <row r="17" ht="15" customHeight="1" s="31">
      <c r="A17" s="2" t="inlineStr">
        <is>
          <t>Bóng né</t>
        </is>
      </c>
      <c r="B17" s="2" t="inlineStr">
        <is>
          <t>Bảng D</t>
        </is>
      </c>
      <c r="C17" s="7">
        <f>'Lịch thi đấu'!D9</f>
        <v/>
      </c>
      <c r="D17" s="7">
        <f>COUNTIF('Nhập kết quả'!$D$5:$D$16,$C17)+COUNTIF('Nhập kết quả'!$E$5:$E$16,$C17)</f>
        <v/>
      </c>
      <c r="E17" s="7">
        <f>COUNTIF('Nhập kết quả'!$I$5:$I$16,$C17)</f>
        <v/>
      </c>
      <c r="F17" s="2">
        <f>SUMPRODUCT((('Nhập kết quả'!$D$5:$D$16=$C17)+('Nhập kết quả'!$E$5:$E$16=$C17))*('Nhập kết quả'!$I$5:$I$16="Hòa"))</f>
        <v/>
      </c>
      <c r="G17" s="7">
        <f>COUNTIF('Nhập kết quả'!$J$5:$J$16,$C17)</f>
        <v/>
      </c>
      <c r="H17" s="12">
        <f>E17*30+F17*10</f>
        <v/>
      </c>
      <c r="I17" s="12">
        <f>RANK(H17,$H$15:$H$17)</f>
        <v/>
      </c>
    </row>
    <row r="18" ht="15" customHeight="1" s="31">
      <c r="A18" s="2" t="inlineStr">
        <is>
          <t>Kéo co</t>
        </is>
      </c>
      <c r="B18" s="2" t="inlineStr">
        <is>
          <t>Bảng A</t>
        </is>
      </c>
      <c r="C18" s="7">
        <f>'Lịch thi đấu'!B6</f>
        <v/>
      </c>
      <c r="D18" s="7">
        <f>COUNTIF('Nhập kết quả'!$D$17:$D$28,$C18)+COUNTIF('Nhập kết quả'!$E$17:$E$28,$C18)</f>
        <v/>
      </c>
      <c r="E18" s="7">
        <f>COUNTIF('Nhập kết quả'!$I$17:$I$28,$C18)</f>
        <v/>
      </c>
      <c r="F18" s="2">
        <f>SUMPRODUCT((('Nhập kết quả'!$D$17:$D$28=$C18)+('Nhập kết quả'!$E$17:$E$28=$C18))*('Nhập kết quả'!$I$17:$I$28="Hòa"))</f>
        <v/>
      </c>
      <c r="G18" s="7">
        <f>COUNTIF('Nhập kết quả'!$J$17:$J$28,$C18)</f>
        <v/>
      </c>
      <c r="H18" s="12">
        <f>E18*30+F18*10</f>
        <v/>
      </c>
      <c r="I18" s="12">
        <f>RANK(H18,$H$18:$H$20)</f>
        <v/>
      </c>
    </row>
    <row r="19" ht="15" customHeight="1" s="31">
      <c r="A19" s="2" t="inlineStr">
        <is>
          <t>Kéo co</t>
        </is>
      </c>
      <c r="B19" s="2" t="inlineStr">
        <is>
          <t>Bảng A</t>
        </is>
      </c>
      <c r="C19" s="7">
        <f>'Lịch thi đấu'!C6</f>
        <v/>
      </c>
      <c r="D19" s="7">
        <f>COUNTIF('Nhập kết quả'!$D$17:$D$28,$C19)+COUNTIF('Nhập kết quả'!$E$17:$E$28,$C19)</f>
        <v/>
      </c>
      <c r="E19" s="7">
        <f>COUNTIF('Nhập kết quả'!$I$17:$I$28,$C19)</f>
        <v/>
      </c>
      <c r="F19" s="2">
        <f>SUMPRODUCT((('Nhập kết quả'!$D$17:$D$28=$C19)+('Nhập kết quả'!$E$17:$E$28=$C19))*('Nhập kết quả'!$I$17:$I$28="Hòa"))</f>
        <v/>
      </c>
      <c r="G19" s="7">
        <f>COUNTIF('Nhập kết quả'!$J$17:$J$28,$C19)</f>
        <v/>
      </c>
      <c r="H19" s="12">
        <f>E19*30+F19*10</f>
        <v/>
      </c>
      <c r="I19" s="12">
        <f>RANK(H19,$H$18:$H$20)</f>
        <v/>
      </c>
    </row>
    <row r="20" ht="15" customHeight="1" s="31">
      <c r="A20" s="2" t="inlineStr">
        <is>
          <t>Kéo co</t>
        </is>
      </c>
      <c r="B20" s="2" t="inlineStr">
        <is>
          <t>Bảng A</t>
        </is>
      </c>
      <c r="C20" s="7">
        <f>'Lịch thi đấu'!D6</f>
        <v/>
      </c>
      <c r="D20" s="7">
        <f>COUNTIF('Nhập kết quả'!$D$17:$D$28,$C20)+COUNTIF('Nhập kết quả'!$E$17:$E$28,$C20)</f>
        <v/>
      </c>
      <c r="E20" s="7">
        <f>COUNTIF('Nhập kết quả'!$I$17:$I$28,$C20)</f>
        <v/>
      </c>
      <c r="F20" s="2">
        <f>SUMPRODUCT((('Nhập kết quả'!$D$17:$D$28=$C20)+('Nhập kết quả'!$E$17:$E$28=$C20))*('Nhập kết quả'!$I$17:$I$28="Hòa"))</f>
        <v/>
      </c>
      <c r="G20" s="7">
        <f>COUNTIF('Nhập kết quả'!$J$17:$J$28,$C20)</f>
        <v/>
      </c>
      <c r="H20" s="12">
        <f>E20*30+F20*10</f>
        <v/>
      </c>
      <c r="I20" s="12">
        <f>RANK(H20,$H$18:$H$20)</f>
        <v/>
      </c>
    </row>
    <row r="21" ht="15" customHeight="1" s="31">
      <c r="A21" s="2" t="inlineStr">
        <is>
          <t>Kéo co</t>
        </is>
      </c>
      <c r="B21" s="2" t="inlineStr">
        <is>
          <t>Bảng B</t>
        </is>
      </c>
      <c r="C21" s="7">
        <f>'Lịch thi đấu'!B7</f>
        <v/>
      </c>
      <c r="D21" s="7">
        <f>COUNTIF('Nhập kết quả'!$D$17:$D$28,$C21)+COUNTIF('Nhập kết quả'!$E$17:$E$28,$C21)</f>
        <v/>
      </c>
      <c r="E21" s="7">
        <f>COUNTIF('Nhập kết quả'!$I$17:$I$28,$C21)</f>
        <v/>
      </c>
      <c r="F21" s="2">
        <f>SUMPRODUCT((('Nhập kết quả'!$D$17:$D$28=$C21)+('Nhập kết quả'!$E$17:$E$28=$C21))*('Nhập kết quả'!$I$17:$I$28="Hòa"))</f>
        <v/>
      </c>
      <c r="G21" s="7">
        <f>COUNTIF('Nhập kết quả'!$J$17:$J$28,$C21)</f>
        <v/>
      </c>
      <c r="H21" s="12">
        <f>E21*30+F21*10</f>
        <v/>
      </c>
      <c r="I21" s="12">
        <f>RANK(H21,$H$21:$H$23)</f>
        <v/>
      </c>
    </row>
    <row r="22" ht="15" customHeight="1" s="31">
      <c r="A22" s="2" t="inlineStr">
        <is>
          <t>Kéo co</t>
        </is>
      </c>
      <c r="B22" s="2" t="inlineStr">
        <is>
          <t>Bảng B</t>
        </is>
      </c>
      <c r="C22" s="7">
        <f>'Lịch thi đấu'!C7</f>
        <v/>
      </c>
      <c r="D22" s="7">
        <f>COUNTIF('Nhập kết quả'!$D$17:$D$28,$C22)+COUNTIF('Nhập kết quả'!$E$17:$E$28,$C22)</f>
        <v/>
      </c>
      <c r="E22" s="7">
        <f>COUNTIF('Nhập kết quả'!$I$17:$I$28,$C22)</f>
        <v/>
      </c>
      <c r="F22" s="2">
        <f>SUMPRODUCT((('Nhập kết quả'!$D$17:$D$28=$C22)+('Nhập kết quả'!$E$17:$E$28=$C22))*('Nhập kết quả'!$I$17:$I$28="Hòa"))</f>
        <v/>
      </c>
      <c r="G22" s="7">
        <f>COUNTIF('Nhập kết quả'!$J$17:$J$28,$C22)</f>
        <v/>
      </c>
      <c r="H22" s="12">
        <f>E22*30+F22*10</f>
        <v/>
      </c>
      <c r="I22" s="12">
        <f>RANK(H22,$H$21:$H$23)</f>
        <v/>
      </c>
    </row>
    <row r="23" ht="15" customHeight="1" s="31">
      <c r="A23" s="2" t="inlineStr">
        <is>
          <t>Kéo co</t>
        </is>
      </c>
      <c r="B23" s="2" t="inlineStr">
        <is>
          <t>Bảng B</t>
        </is>
      </c>
      <c r="C23" s="7">
        <f>'Lịch thi đấu'!D7</f>
        <v/>
      </c>
      <c r="D23" s="7">
        <f>COUNTIF('Nhập kết quả'!$D$17:$D$28,$C23)+COUNTIF('Nhập kết quả'!$E$17:$E$28,$C23)</f>
        <v/>
      </c>
      <c r="E23" s="7">
        <f>COUNTIF('Nhập kết quả'!$I$17:$I$28,$C23)</f>
        <v/>
      </c>
      <c r="F23" s="2">
        <f>SUMPRODUCT((('Nhập kết quả'!$D$17:$D$28=$C23)+('Nhập kết quả'!$E$17:$E$28=$C23))*('Nhập kết quả'!$I$17:$I$28="Hòa"))</f>
        <v/>
      </c>
      <c r="G23" s="7">
        <f>COUNTIF('Nhập kết quả'!$J$17:$J$28,$C23)</f>
        <v/>
      </c>
      <c r="H23" s="12">
        <f>E23*30+F23*10</f>
        <v/>
      </c>
      <c r="I23" s="12">
        <f>RANK(H23,$H$21:$H$23)</f>
        <v/>
      </c>
    </row>
    <row r="24" ht="15" customHeight="1" s="31">
      <c r="A24" s="2" t="inlineStr">
        <is>
          <t>Kéo co</t>
        </is>
      </c>
      <c r="B24" s="2" t="inlineStr">
        <is>
          <t>Bảng C</t>
        </is>
      </c>
      <c r="C24" s="7">
        <f>'Lịch thi đấu'!B8</f>
        <v/>
      </c>
      <c r="D24" s="7">
        <f>COUNTIF('Nhập kết quả'!$D$17:$D$28,$C24)+COUNTIF('Nhập kết quả'!$E$17:$E$28,$C24)</f>
        <v/>
      </c>
      <c r="E24" s="7">
        <f>COUNTIF('Nhập kết quả'!$I$17:$I$28,$C24)</f>
        <v/>
      </c>
      <c r="F24" s="2">
        <f>SUMPRODUCT((('Nhập kết quả'!$D$17:$D$28=$C24)+('Nhập kết quả'!$E$17:$E$28=$C24))*('Nhập kết quả'!$I$17:$I$28="Hòa"))</f>
        <v/>
      </c>
      <c r="G24" s="7">
        <f>COUNTIF('Nhập kết quả'!$J$17:$J$28,$C24)</f>
        <v/>
      </c>
      <c r="H24" s="12">
        <f>E24*30+F24*10</f>
        <v/>
      </c>
      <c r="I24" s="12">
        <f>RANK(H24,$H$24:$H$26)</f>
        <v/>
      </c>
    </row>
    <row r="25" ht="15" customHeight="1" s="31">
      <c r="A25" s="2" t="inlineStr">
        <is>
          <t>Kéo co</t>
        </is>
      </c>
      <c r="B25" s="2" t="inlineStr">
        <is>
          <t>Bảng C</t>
        </is>
      </c>
      <c r="C25" s="7">
        <f>'Lịch thi đấu'!C8</f>
        <v/>
      </c>
      <c r="D25" s="7">
        <f>COUNTIF('Nhập kết quả'!$D$17:$D$28,$C25)+COUNTIF('Nhập kết quả'!$E$17:$E$28,$C25)</f>
        <v/>
      </c>
      <c r="E25" s="7">
        <f>COUNTIF('Nhập kết quả'!$I$17:$I$28,$C25)</f>
        <v/>
      </c>
      <c r="F25" s="2">
        <f>SUMPRODUCT((('Nhập kết quả'!$D$17:$D$28=$C25)+('Nhập kết quả'!$E$17:$E$28=$C25))*('Nhập kết quả'!$I$17:$I$28="Hòa"))</f>
        <v/>
      </c>
      <c r="G25" s="7">
        <f>COUNTIF('Nhập kết quả'!$J$17:$J$28,$C25)</f>
        <v/>
      </c>
      <c r="H25" s="12">
        <f>E25*30+F25*10</f>
        <v/>
      </c>
      <c r="I25" s="12">
        <f>RANK(H25,$H$24:$H$26)</f>
        <v/>
      </c>
    </row>
    <row r="26" ht="15" customHeight="1" s="31">
      <c r="A26" s="2" t="inlineStr">
        <is>
          <t>Kéo co</t>
        </is>
      </c>
      <c r="B26" s="2" t="inlineStr">
        <is>
          <t>Bảng C</t>
        </is>
      </c>
      <c r="C26" s="7">
        <f>'Lịch thi đấu'!D8</f>
        <v/>
      </c>
      <c r="D26" s="7">
        <f>COUNTIF('Nhập kết quả'!$D$17:$D$28,$C26)+COUNTIF('Nhập kết quả'!$E$17:$E$28,$C26)</f>
        <v/>
      </c>
      <c r="E26" s="7">
        <f>COUNTIF('Nhập kết quả'!$I$17:$I$28,$C26)</f>
        <v/>
      </c>
      <c r="F26" s="2">
        <f>SUMPRODUCT((('Nhập kết quả'!$D$17:$D$28=$C26)+('Nhập kết quả'!$E$17:$E$28=$C26))*('Nhập kết quả'!$I$17:$I$28="Hòa"))</f>
        <v/>
      </c>
      <c r="G26" s="7">
        <f>COUNTIF('Nhập kết quả'!$J$17:$J$28,$C26)</f>
        <v/>
      </c>
      <c r="H26" s="12">
        <f>E26*30+F26*10</f>
        <v/>
      </c>
      <c r="I26" s="12">
        <f>RANK(H26,$H$24:$H$26)</f>
        <v/>
      </c>
    </row>
    <row r="27" ht="15" customHeight="1" s="31">
      <c r="A27" s="2" t="inlineStr">
        <is>
          <t>Kéo co</t>
        </is>
      </c>
      <c r="B27" s="2" t="inlineStr">
        <is>
          <t>Bảng D</t>
        </is>
      </c>
      <c r="C27" s="7">
        <f>'Lịch thi đấu'!B9</f>
        <v/>
      </c>
      <c r="D27" s="7">
        <f>COUNTIF('Nhập kết quả'!$D$17:$D$28,$C27)+COUNTIF('Nhập kết quả'!$E$17:$E$28,$C27)</f>
        <v/>
      </c>
      <c r="E27" s="7">
        <f>COUNTIF('Nhập kết quả'!$I$17:$I$28,$C27)</f>
        <v/>
      </c>
      <c r="F27" s="2">
        <f>SUMPRODUCT((('Nhập kết quả'!$D$17:$D$28=$C27)+('Nhập kết quả'!$E$17:$E$28=$C27))*('Nhập kết quả'!$I$17:$I$28="Hòa"))</f>
        <v/>
      </c>
      <c r="G27" s="7">
        <f>COUNTIF('Nhập kết quả'!$J$17:$J$28,$C27)</f>
        <v/>
      </c>
      <c r="H27" s="12">
        <f>E27*30+F27*10</f>
        <v/>
      </c>
      <c r="I27" s="12">
        <f>RANK(H27,$H$27:$H$29)</f>
        <v/>
      </c>
    </row>
    <row r="28" ht="15" customHeight="1" s="31">
      <c r="A28" s="2" t="inlineStr">
        <is>
          <t>Kéo co</t>
        </is>
      </c>
      <c r="B28" s="2" t="inlineStr">
        <is>
          <t>Bảng D</t>
        </is>
      </c>
      <c r="C28" s="7">
        <f>'Lịch thi đấu'!C9</f>
        <v/>
      </c>
      <c r="D28" s="7">
        <f>COUNTIF('Nhập kết quả'!$D$17:$D$28,$C28)+COUNTIF('Nhập kết quả'!$E$17:$E$28,$C28)</f>
        <v/>
      </c>
      <c r="E28" s="7">
        <f>COUNTIF('Nhập kết quả'!$I$17:$I$28,$C28)</f>
        <v/>
      </c>
      <c r="F28" s="2">
        <f>SUMPRODUCT((('Nhập kết quả'!$D$17:$D$28=$C28)+('Nhập kết quả'!$E$17:$E$28=$C28))*('Nhập kết quả'!$I$17:$I$28="Hòa"))</f>
        <v/>
      </c>
      <c r="G28" s="7">
        <f>COUNTIF('Nhập kết quả'!$J$17:$J$28,$C28)</f>
        <v/>
      </c>
      <c r="H28" s="12">
        <f>E28*30+F28*10</f>
        <v/>
      </c>
      <c r="I28" s="12">
        <f>RANK(H28,$H$27:$H$29)</f>
        <v/>
      </c>
    </row>
    <row r="29" ht="15" customHeight="1" s="31">
      <c r="A29" s="2" t="inlineStr">
        <is>
          <t>Kéo co</t>
        </is>
      </c>
      <c r="B29" s="2" t="inlineStr">
        <is>
          <t>Bảng D</t>
        </is>
      </c>
      <c r="C29" s="7">
        <f>'Lịch thi đấu'!D9</f>
        <v/>
      </c>
      <c r="D29" s="7">
        <f>COUNTIF('Nhập kết quả'!$D$17:$D$28,$C29)+COUNTIF('Nhập kết quả'!$E$17:$E$28,$C29)</f>
        <v/>
      </c>
      <c r="E29" s="7">
        <f>COUNTIF('Nhập kết quả'!$I$17:$I$28,$C29)</f>
        <v/>
      </c>
      <c r="F29" s="2">
        <f>SUMPRODUCT((('Nhập kết quả'!$D$17:$D$28=$C29)+('Nhập kết quả'!$E$17:$E$28=$C29))*('Nhập kết quả'!$I$17:$I$28="Hòa"))</f>
        <v/>
      </c>
      <c r="G29" s="7">
        <f>COUNTIF('Nhập kết quả'!$J$17:$J$28,$C29)</f>
        <v/>
      </c>
      <c r="H29" s="12">
        <f>E29*30+F29*10</f>
        <v/>
      </c>
      <c r="I29" s="12">
        <f>RANK(H29,$H$27:$H$29)</f>
        <v/>
      </c>
    </row>
    <row r="31" ht="15" customHeight="1" s="31">
      <c r="A31" s="39" t="inlineStr">
        <is>
          <t>2. Vòng loại trực tiếp &amp; Vô địch mỗi môn</t>
        </is>
      </c>
    </row>
    <row r="32" ht="23.25" customHeight="1" s="31">
      <c r="A32" s="1" t="inlineStr">
        <is>
          <t>Môn</t>
        </is>
      </c>
      <c r="B32" s="1" t="inlineStr">
        <is>
          <t>Giai đoạn</t>
        </is>
      </c>
      <c r="C32" s="1" t="inlineStr">
        <is>
          <t>Đội 1</t>
        </is>
      </c>
      <c r="D32" s="1" t="inlineStr">
        <is>
          <t>Đội 2</t>
        </is>
      </c>
      <c r="E32" s="1" t="inlineStr">
        <is>
          <t>Đội thắng</t>
        </is>
      </c>
    </row>
    <row r="33" ht="15" customHeight="1" s="31">
      <c r="A33" s="2" t="inlineStr">
        <is>
          <t>Bóng né</t>
        </is>
      </c>
      <c r="B33" s="2" t="inlineStr">
        <is>
          <t>Bán kết 1</t>
        </is>
      </c>
      <c r="C33" s="7">
        <f>'Nhập kết quả'!D29</f>
        <v/>
      </c>
      <c r="D33" s="7">
        <f>'Nhập kết quả'!E29</f>
        <v/>
      </c>
      <c r="E33" s="11">
        <f>'Nhập kết quả'!I29</f>
        <v/>
      </c>
    </row>
    <row r="34" ht="15" customHeight="1" s="31">
      <c r="A34" s="2" t="inlineStr">
        <is>
          <t>Bóng né</t>
        </is>
      </c>
      <c r="B34" s="2" t="inlineStr">
        <is>
          <t>Bán kết 2</t>
        </is>
      </c>
      <c r="C34" s="7">
        <f>'Nhập kết quả'!D30</f>
        <v/>
      </c>
      <c r="D34" s="7">
        <f>'Nhập kết quả'!E30</f>
        <v/>
      </c>
      <c r="E34" s="11">
        <f>'Nhập kết quả'!I30</f>
        <v/>
      </c>
    </row>
    <row r="35" ht="15" customHeight="1" s="31">
      <c r="A35" s="2" t="inlineStr">
        <is>
          <t>Bóng né</t>
        </is>
      </c>
      <c r="B35" s="12" t="inlineStr">
        <is>
          <t>Chung kết</t>
        </is>
      </c>
      <c r="C35" s="7">
        <f>'Nhập kết quả'!D33</f>
        <v/>
      </c>
      <c r="D35" s="7">
        <f>'Nhập kết quả'!E33</f>
        <v/>
      </c>
      <c r="E35" s="11">
        <f>'Nhập kết quả'!I33</f>
        <v/>
      </c>
    </row>
    <row r="36" ht="15" customHeight="1" s="31">
      <c r="A36" s="2" t="inlineStr">
        <is>
          <t>Kéo co</t>
        </is>
      </c>
      <c r="B36" s="2" t="inlineStr">
        <is>
          <t>Bán kết 1</t>
        </is>
      </c>
      <c r="C36" s="7">
        <f>'Nhập kết quả'!D31</f>
        <v/>
      </c>
      <c r="D36" s="7">
        <f>'Nhập kết quả'!E31</f>
        <v/>
      </c>
      <c r="E36" s="11">
        <f>'Nhập kết quả'!I31</f>
        <v/>
      </c>
    </row>
    <row r="37" ht="15" customHeight="1" s="31">
      <c r="A37" s="2" t="inlineStr">
        <is>
          <t>Kéo co</t>
        </is>
      </c>
      <c r="B37" s="2" t="inlineStr">
        <is>
          <t>Bán kết 2</t>
        </is>
      </c>
      <c r="C37" s="7">
        <f>'Nhập kết quả'!D32</f>
        <v/>
      </c>
      <c r="D37" s="7">
        <f>'Nhập kết quả'!E32</f>
        <v/>
      </c>
      <c r="E37" s="11">
        <f>'Nhập kết quả'!I32</f>
        <v/>
      </c>
    </row>
    <row r="38" ht="15" customHeight="1" s="31">
      <c r="A38" s="2" t="inlineStr">
        <is>
          <t>Kéo co</t>
        </is>
      </c>
      <c r="B38" s="12" t="inlineStr">
        <is>
          <t>Chung kết</t>
        </is>
      </c>
      <c r="C38" s="7">
        <f>'Nhập kết quả'!D34</f>
        <v/>
      </c>
      <c r="D38" s="7">
        <f>'Nhập kết quả'!E34</f>
        <v/>
      </c>
      <c r="E38" s="11">
        <f>'Nhập kết quả'!I34</f>
        <v/>
      </c>
    </row>
    <row r="40" ht="15" customHeight="1" s="31">
      <c r="A40" s="16" t="inlineStr">
        <is>
          <t>VÔ ĐỊCH BÓNG NÉ:</t>
        </is>
      </c>
      <c r="B40" s="16">
        <f>E35</f>
        <v/>
      </c>
    </row>
    <row r="41" ht="15" customHeight="1" s="31">
      <c r="A41" s="16" t="inlineStr">
        <is>
          <t>VÔ ĐỊCH KÉO CO:</t>
        </is>
      </c>
      <c r="B41" s="16">
        <f>E38</f>
        <v/>
      </c>
    </row>
  </sheetData>
  <mergeCells count="4">
    <mergeCell ref="A1:I1"/>
    <mergeCell ref="A4:I4"/>
    <mergeCell ref="A31:I3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7109375" defaultRowHeight="15"/>
  <cols>
    <col width="5" customWidth="1" style="31" min="1" max="1"/>
    <col width="16" customWidth="1" style="31" min="2" max="2"/>
    <col width="30" customWidth="1" style="31" min="3" max="3"/>
    <col width="9" customWidth="1" style="31" min="4" max="5"/>
    <col width="26" customWidth="1" style="31" min="6" max="6"/>
    <col width="30" customWidth="1" style="31" min="7" max="8"/>
    <col width="28" customWidth="1" style="31" min="9" max="9"/>
    <col width="20" customWidth="1" style="31" min="10" max="10"/>
  </cols>
  <sheetData>
    <row r="1" ht="19.5" customHeight="1" s="31">
      <c r="A1" s="30" t="inlineStr">
        <is>
          <t>KỊCH BẢN VẬN HÀNH CHI TIẾT — HỘI THAO</t>
        </is>
      </c>
    </row>
    <row r="2" ht="15" customHeight="1" s="31">
      <c r="A2" s="33" t="inlineStr">
        <is>
          <t>Bắt đầu/Kết thúc lấy tự động từ sheet 'Timeline (5W1H)' — đổi giờ Bóng né ở đó, bảng này tự cập nhật theo</t>
        </is>
      </c>
    </row>
    <row r="4" ht="30" customHeight="1" s="31">
      <c r="A4" s="1" t="inlineStr">
        <is>
          <t>STT</t>
        </is>
      </c>
      <c r="B4" s="1" t="inlineStr">
        <is>
          <t>Tiết mục</t>
        </is>
      </c>
      <c r="C4" s="1" t="inlineStr">
        <is>
          <t>Công việc chi tiết</t>
        </is>
      </c>
      <c r="D4" s="1" t="inlineStr">
        <is>
          <t>Bắt đầu</t>
        </is>
      </c>
      <c r="E4" s="1" t="inlineStr">
        <is>
          <t>Kết thúc</t>
        </is>
      </c>
      <c r="F4" s="1" t="inlineStr">
        <is>
          <t>MC</t>
        </is>
      </c>
      <c r="G4" s="1" t="inlineStr">
        <is>
          <t>Trọng tài</t>
        </is>
      </c>
      <c r="H4" s="1" t="inlineStr">
        <is>
          <t>Thư ký ghi kết quả</t>
        </is>
      </c>
      <c r="I4" s="1" t="inlineStr">
        <is>
          <t>Người hỗ trợ (TNV)</t>
        </is>
      </c>
      <c r="J4" s="1" t="inlineStr">
        <is>
          <t>Ghi chú / thiết bị</t>
        </is>
      </c>
    </row>
    <row r="5" ht="61.5" customHeight="1" s="31">
      <c r="A5" s="2" t="n">
        <v>1</v>
      </c>
      <c r="B5" s="17" t="inlineStr">
        <is>
          <t>Khai mạc</t>
        </is>
      </c>
      <c r="C5" s="5" t="inlineStr">
        <is>
          <t>Khai mạc chớp nhoáng, phổ biến luật 2 môn</t>
        </is>
      </c>
      <c r="D5" s="10">
        <f>'Timeline (5W1H)'!B7</f>
        <v/>
      </c>
      <c r="E5" s="10">
        <f>'Timeline (5W1H)'!C7</f>
        <v/>
      </c>
      <c r="F5" s="5" t="inlineStr">
        <is>
          <t>Dẫn dắt khai mạc, phổ biến luật; phát tờ luật in sẵn cho 12 đội trưởng</t>
        </is>
      </c>
      <c r="G5" s="5" t="inlineStr">
        <is>
          <t>7 trọng tài (4 sân Bóng né + 3 dây Kéo co) tập trung nhận sơ đồ vị trí, đồng bộ đồng hồ</t>
        </is>
      </c>
      <c r="H5" s="5" t="inlineStr">
        <is>
          <t>Chuẩn bị file 'Nhập kết quả', kiểm tra máy tính/kết nối mạng</t>
        </is>
      </c>
      <c r="I5" s="5" t="inlineStr">
        <is>
          <t>Từ phút thứ 7, đưa các đội của Lượt 1 Bóng né vào đúng sân</t>
        </is>
      </c>
      <c r="J5" s="5" t="inlineStr">
        <is>
          <t>Loa tay từng sân/dây, đồng hồ đếm ngược, tờ luật in sẵn</t>
        </is>
      </c>
    </row>
    <row r="6" ht="94.5" customHeight="1" s="31">
      <c r="A6" s="2" t="n">
        <v>2</v>
      </c>
      <c r="B6" s="17" t="inlineStr">
        <is>
          <t>Bóng né — Lượt 1</t>
        </is>
      </c>
      <c r="C6" s="5" t="inlineStr">
        <is>
          <t>Vòng bảng Lượt 1, 4 trận song song:
Sân 1 (Bảng A): Đội 10 (KV Yên Nghĩa/Văn Quán 2-3)  vs  Đội 4 (KV Đặng Thùy Trâm/Phạm Tuấn Tài 3/Láng Hạ/Mê Linh)
Sân 2 (Bảng B): Đội 12 (KV Gia Lâm/Giải Phóng/Lê Thanh Nghị 2)  vs  Đội 1 (Trụ sở – Khối Sản xuất - Vận hành)
Sân 3 (Bảng C): Đội 9 (KV Thanh Trì/Trần Đại Nghĩa 2/Lê Duẩn HP/Lạch Tray HP)  vs  Đội 3 (Trụ sở – Khối TNKH &amp; Truyền thông Marketing)
Sân 4 (Bảng D): Đội 6 (KV Nguyễn Khuyến 1/Quang Trung/Văn Phú)  vs  Đội 7 (KV Văn Quán 1/Nguyễn Khuyến/Lê Thanh Nghị HD)</t>
        </is>
      </c>
      <c r="D6" s="10">
        <f>'Timeline (5W1H)'!B8</f>
        <v/>
      </c>
      <c r="E6" s="10">
        <f>'Timeline (5W1H)'!C8</f>
        <v/>
      </c>
      <c r="F6" s="5" t="inlineStr">
        <is>
          <t>Giới thiệu nhanh cặp đấu từng sân qua loa</t>
        </is>
      </c>
      <c r="G6" s="5" t="inlineStr">
        <is>
          <t>4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6" s="5" t="inlineStr">
        <is>
          <t>Nhận kết quả từ 4 trọng tài, nhập ngay vào 'Nhập kết quả'</t>
        </is>
      </c>
      <c r="I6" s="5" t="inlineStr">
        <is>
          <t>Từ phút thứ 7, xác nhận các đội của Lượt 2 đã có mặt tại khu chờ đúng sân</t>
        </is>
      </c>
      <c r="J6" s="5" t="n"/>
    </row>
    <row r="7" ht="94.5" customHeight="1" s="31">
      <c r="A7" s="2" t="n">
        <v>3</v>
      </c>
      <c r="B7" s="17" t="inlineStr">
        <is>
          <t>Bóng né — Lượt 2</t>
        </is>
      </c>
      <c r="C7" s="5" t="inlineStr">
        <is>
          <t>Vòng bảng Lượt 2, 4 trận song song:
Sân 1 (Bảng A): Đội 10 (KV Yên Nghĩa/Văn Quán 2-3)  vs  Đội 5 (KV Trần Quốc Vượng/Xuân Thủy/Hoàng Quốc Việt/Bắc Từ Liêm)
Sân 2 (Bảng B): Đội 12 (KV Gia Lâm/Giải Phóng/Lê Thanh Nghị 2)  vs  Đội 2 (Trụ sở – Khối Quản trị)
Sân 3 (Bảng C): Đội 9 (KV Thanh Trì/Trần Đại Nghĩa 2/Lê Duẩn HP/Lạch Tray HP)  vs  Đội 8 (KV Thái Hà/Xuân Quỳnh/Tam Khương...)
Sân 4 (Bảng D): Đội 6 (KV Nguyễn Khuyến 1/Quang Trung/Văn Phú)  vs  Đội 11 (KV Phùng Khoang/Bắc Sơn/MonBay/Hoàng Diệu/Phong Châu)</t>
        </is>
      </c>
      <c r="D7" s="10">
        <f>'Timeline (5W1H)'!B9</f>
        <v/>
      </c>
      <c r="E7" s="10">
        <f>'Timeline (5W1H)'!C9</f>
        <v/>
      </c>
      <c r="F7" s="5" t="inlineStr">
        <is>
          <t>Giới thiệu nhanh cặp đấu từng sân qua loa</t>
        </is>
      </c>
      <c r="G7" s="5" t="inlineStr">
        <is>
          <t>4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7" s="5" t="inlineStr">
        <is>
          <t>Nhận kết quả từ 4 trọng tài, nhập ngay vào 'Nhập kết quả'</t>
        </is>
      </c>
      <c r="I7" s="5" t="inlineStr">
        <is>
          <t>Từ phút thứ 7, xác nhận các đội của Lượt 3 đã có mặt tại khu chờ đúng sân</t>
        </is>
      </c>
      <c r="J7" s="5" t="n"/>
    </row>
    <row r="8" ht="94.5" customHeight="1" s="31">
      <c r="A8" s="2" t="n">
        <v>4</v>
      </c>
      <c r="B8" s="17" t="inlineStr">
        <is>
          <t>Bóng né — Lượt 3</t>
        </is>
      </c>
      <c r="C8" s="5" t="inlineStr">
        <is>
          <t>Vòng bảng Lượt 3, 4 trận song song:
Sân 1 (Bảng A): Đội 4 (KV Đặng Thùy Trâm/Phạm Tuấn Tài 3/Láng Hạ/Mê Linh)  vs  Đội 5 (KV Trần Quốc Vượng/Xuân Thủy/Hoàng Quốc Việt/Bắc Từ Liêm)
Sân 2 (Bảng B): Đội 1 (Trụ sở – Khối Sản xuất - Vận hành)  vs  Đội 2 (Trụ sở – Khối Quản trị)
Sân 3 (Bảng C): Đội 3 (Trụ sở – Khối TNKH &amp; Truyền thông Marketing)  vs  Đội 8 (KV Thái Hà/Xuân Quỳnh/Tam Khương...)
Sân 4 (Bảng D): Đội 7 (KV Văn Quán 1/Nguyễn Khuyến/Lê Thanh Nghị HD)  vs  Đội 11 (KV Phùng Khoang/Bắc Sơn/MonBay/Hoàng Diệu/Phong Châu)</t>
        </is>
      </c>
      <c r="D8" s="10">
        <f>'Timeline (5W1H)'!B10</f>
        <v/>
      </c>
      <c r="E8" s="10">
        <f>'Timeline (5W1H)'!C10</f>
        <v/>
      </c>
      <c r="F8" s="5" t="inlineStr">
        <is>
          <t>Thông báo kết thúc vòng bảng Bóng né, mời di chuyển</t>
        </is>
      </c>
      <c r="G8" s="5" t="inlineStr">
        <is>
          <t>4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8" s="5" t="inlineStr">
        <is>
          <t>Nhận kết quả từ 4 trọng tài, nhập ngay vào 'Nhập kết quả'</t>
        </is>
      </c>
      <c r="I8" s="5" t="inlineStr">
        <is>
          <t>Từ phút thứ 7, dẫn 12 đội di chuyển dần sang khu kéo co</t>
        </is>
      </c>
      <c r="J8" s="5" t="n"/>
    </row>
    <row r="9" ht="61.5" customHeight="1" s="31">
      <c r="A9" s="2" t="n">
        <v>5</v>
      </c>
      <c r="B9" s="17" t="inlineStr">
        <is>
          <t>Chuyển khu vực</t>
        </is>
      </c>
      <c r="C9" s="5" t="inlineStr">
        <is>
          <t>Di chuyển sang khu kéo co, phát nước</t>
        </is>
      </c>
      <c r="D9" s="10">
        <f>'Timeline (5W1H)'!B11</f>
        <v/>
      </c>
      <c r="E9" s="10">
        <f>'Timeline (5W1H)'!C11</f>
        <v/>
      </c>
      <c r="F9" s="5" t="inlineStr">
        <is>
          <t>Giữ nhịp bằng nhạc nền, thông báo di chuyển</t>
        </is>
      </c>
      <c r="G9" s="5" t="inlineStr">
        <is>
          <t>Di chuyển sang vị trí Dây 1–3, kiểm tra dây kéo co</t>
        </is>
      </c>
      <c r="H9" s="5" t="inlineStr">
        <is>
          <t>Rà soát lại đã nhập đủ 12 trận vòng bảng Bóng né</t>
        </is>
      </c>
      <c r="I9" s="5" t="inlineStr">
        <is>
          <t>Hướng dẫn theo màu đội; xác nhận đội Lượt 1 Kéo co vào vị trí</t>
        </is>
      </c>
      <c r="J9" s="5" t="inlineStr">
        <is>
          <t>Dây kéo co dựng sẵn trước giờ</t>
        </is>
      </c>
    </row>
    <row r="10" ht="61.5" customHeight="1" s="31">
      <c r="A10" s="2" t="n">
        <v>6</v>
      </c>
      <c r="B10" s="17" t="inlineStr">
        <is>
          <t>Kéo co — Lượt 1</t>
        </is>
      </c>
      <c r="C10" s="5" t="inlineStr">
        <is>
          <t>Vòng bảng Lượt 1, 3 trận song song. Dây 1: Bảng A (vòng 1) — Dây 2: Bảng B (vòng 1) — Dây 3: Bảng C (vòng 1)</t>
        </is>
      </c>
      <c r="D10" s="10">
        <f>'Timeline (5W1H)'!B12</f>
        <v/>
      </c>
      <c r="E10" s="10">
        <f>'Timeline (5W1H)'!C12</f>
        <v/>
      </c>
      <c r="F10" s="5" t="inlineStr">
        <is>
          <t>Giới thiệu nhanh cặp đấu từng dây qua loa</t>
        </is>
      </c>
      <c r="G10" s="5" t="inlineStr">
        <is>
          <t>3 trọng tài chính bấm giờ 10 phút/dây, áp dụng luật dừng cứng khi hết giờ</t>
        </is>
      </c>
      <c r="H10" s="5" t="inlineStr">
        <is>
          <t>Nhận kết quả từ 3 trọng tài, nhập ngay vào 'Nhập kết quả'</t>
        </is>
      </c>
      <c r="I10" s="5" t="inlineStr">
        <is>
          <t>Từ phút thứ 7, xác nhận các đội của Lượt 2 đã có mặt tại vị trí chờ</t>
        </is>
      </c>
      <c r="J10" s="5" t="n"/>
    </row>
    <row r="11" ht="61.5" customHeight="1" s="31">
      <c r="A11" s="2" t="n">
        <v>7</v>
      </c>
      <c r="B11" s="17" t="inlineStr">
        <is>
          <t>Kéo co — Lượt 2</t>
        </is>
      </c>
      <c r="C11" s="5" t="inlineStr">
        <is>
          <t>Vòng bảng Lượt 2, 3 trận song song. Dây 1: Bảng D (vòng 1) — Dây 2: Bảng A (vòng 2) — Dây 3: Bảng B (vòng 2)</t>
        </is>
      </c>
      <c r="D11" s="10">
        <f>'Timeline (5W1H)'!B13</f>
        <v/>
      </c>
      <c r="E11" s="10">
        <f>'Timeline (5W1H)'!C13</f>
        <v/>
      </c>
      <c r="F11" s="5" t="inlineStr">
        <is>
          <t>Giới thiệu nhanh cặp đấu từng dây qua loa</t>
        </is>
      </c>
      <c r="G11" s="5" t="inlineStr">
        <is>
          <t>3 trọng tài chính bấm giờ 10 phút/dây, áp dụng luật dừng cứng khi hết giờ</t>
        </is>
      </c>
      <c r="H11" s="5" t="inlineStr">
        <is>
          <t>Nhận kết quả từ 3 trọng tài, nhập ngay vào 'Nhập kết quả'</t>
        </is>
      </c>
      <c r="I11" s="5" t="inlineStr">
        <is>
          <t>Từ phút thứ 7, xác nhận các đội của Lượt 3 đã có mặt tại vị trí chờ</t>
        </is>
      </c>
      <c r="J11" s="5" t="n"/>
    </row>
    <row r="12" ht="61.5" customHeight="1" s="31">
      <c r="A12" s="2" t="n">
        <v>8</v>
      </c>
      <c r="B12" s="17" t="inlineStr">
        <is>
          <t>Kéo co — Lượt 3</t>
        </is>
      </c>
      <c r="C12" s="5" t="inlineStr">
        <is>
          <t>Vòng bảng Lượt 3, 3 trận song song. Dây 1: Bảng C (vòng 2) — Dây 2: Bảng D (vòng 2) — Dây 3: Bảng A (vòng 3)</t>
        </is>
      </c>
      <c r="D12" s="10">
        <f>'Timeline (5W1H)'!B14</f>
        <v/>
      </c>
      <c r="E12" s="10">
        <f>'Timeline (5W1H)'!C14</f>
        <v/>
      </c>
      <c r="F12" s="5" t="inlineStr">
        <is>
          <t>Giới thiệu nhanh cặp đấu từng dây qua loa</t>
        </is>
      </c>
      <c r="G12" s="5" t="inlineStr">
        <is>
          <t>3 trọng tài chính bấm giờ 10 phút/dây, áp dụng luật dừng cứng khi hết giờ</t>
        </is>
      </c>
      <c r="H12" s="5" t="inlineStr">
        <is>
          <t>Nhận kết quả từ 3 trọng tài, nhập ngay vào 'Nhập kết quả'</t>
        </is>
      </c>
      <c r="I12" s="5" t="inlineStr">
        <is>
          <t>Từ phút thứ 7, xác nhận các đội của Lượt 4 đã có mặt tại vị trí chờ</t>
        </is>
      </c>
      <c r="J12" s="5" t="n"/>
    </row>
    <row r="13" ht="61.5" customHeight="1" s="31">
      <c r="A13" s="2" t="n">
        <v>9</v>
      </c>
      <c r="B13" s="17" t="inlineStr">
        <is>
          <t>Kéo co — Lượt 4</t>
        </is>
      </c>
      <c r="C13" s="5" t="inlineStr">
        <is>
          <t>Vòng bảng Lượt 4, 3 trận song song. Dây 1: Bảng B (vòng 3) — Dây 2: Bảng C (vòng 3) — Dây 3: Bảng D (vòng 3)</t>
        </is>
      </c>
      <c r="D13" s="10">
        <f>'Timeline (5W1H)'!B15</f>
        <v/>
      </c>
      <c r="E13" s="10">
        <f>'Timeline (5W1H)'!C15</f>
        <v/>
      </c>
      <c r="F13" s="5" t="inlineStr">
        <is>
          <t>Thông báo kết thúc vòng bảng, mời nghỉ ngắn</t>
        </is>
      </c>
      <c r="G13" s="5" t="inlineStr">
        <is>
          <t>3 trọng tài chính bấm giờ 10 phút/dây, áp dụng luật dừng cứng khi hết giờ</t>
        </is>
      </c>
      <c r="H13" s="5" t="inlineStr">
        <is>
          <t>Nhận kết quả từ 3 trọng tài, nhập ngay vào 'Nhập kết quả'</t>
        </is>
      </c>
      <c r="I13" s="5" t="inlineStr">
        <is>
          <t>Thông báo nghỉ giải lao ngắn tại chỗ, chờ tổng hợp</t>
        </is>
      </c>
      <c r="J13" s="5" t="n"/>
    </row>
    <row r="14" ht="61.5" customHeight="1" s="31">
      <c r="A14" s="2" t="n">
        <v>10</v>
      </c>
      <c r="B14" s="17" t="inlineStr">
        <is>
          <t>Tổng hợp vòng bảng</t>
        </is>
      </c>
      <c r="C14" s="5" t="inlineStr">
        <is>
          <t>Chốt bảng xếp hạng vòng bảng cả 2 môn, xác định đội vào bán kết</t>
        </is>
      </c>
      <c r="D14" s="10">
        <f>'Timeline (5W1H)'!B16</f>
        <v/>
      </c>
      <c r="E14" s="10">
        <f>'Timeline (5W1H)'!C16</f>
        <v/>
      </c>
      <c r="F14" s="5" t="inlineStr">
        <is>
          <t>Giao lưu / minigame khán giả giữ nhịp trong lúc chờ</t>
        </is>
      </c>
      <c r="G14" s="5" t="inlineStr">
        <is>
          <t>Nghỉ ngắn, di chuyển vào vị trí Sân 1–2 / Dây 1–2 (bán kết)</t>
        </is>
      </c>
      <c r="H14" s="5" t="inlineStr">
        <is>
          <t>Nhập nốt kết quả lượt cuối; xem tự động sheet 'Tổng kết' mục 1, xác nhận danh sách bán kết</t>
        </is>
      </c>
      <c r="I14" s="5" t="inlineStr">
        <is>
          <t>Chuẩn bị nước, khăn cho các đội nghỉ giải lao</t>
        </is>
      </c>
      <c r="J14" s="5" t="n"/>
    </row>
    <row r="15" ht="61.5" customHeight="1" s="31">
      <c r="A15" s="2" t="n">
        <v>11</v>
      </c>
      <c r="B15" s="17" t="inlineStr">
        <is>
          <t>Bóng né — Bán kết</t>
        </is>
      </c>
      <c r="C15" s="5" t="inlineStr">
        <is>
          <t>BK1: Nhất bảng A vs Nhất bảng B; BK2: Nhất bảng C vs Nhất bảng D</t>
        </is>
      </c>
      <c r="D15" s="10">
        <f>'Timeline (5W1H)'!B17</f>
        <v/>
      </c>
      <c r="E15" s="10">
        <f>'Timeline (5W1H)'!C17</f>
        <v/>
      </c>
      <c r="F15" s="5" t="inlineStr">
        <is>
          <t>Tường thuật trực tiếp, tạo không khí</t>
        </is>
      </c>
      <c r="G15" s="5" t="inlineStr">
        <is>
          <t>2 trọng tài (Sân 1–2) bấm giờ 10 phút, xử lý tình huống.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15" s="5" t="inlineStr">
        <is>
          <t>Nhập kết quả bán kết ngay khi kết thúc</t>
        </is>
      </c>
      <c r="I15" s="5" t="inlineStr">
        <is>
          <t>Từ phút thứ 7, xác nhận đội bán kết Kéo co đã có mặt tại khu kéo co</t>
        </is>
      </c>
      <c r="J15" s="5" t="n"/>
    </row>
    <row r="16" ht="61.5" customHeight="1" s="31">
      <c r="A16" s="2" t="n">
        <v>12</v>
      </c>
      <c r="B16" s="17" t="inlineStr">
        <is>
          <t>Kéo co — Bán kết</t>
        </is>
      </c>
      <c r="C16" s="5" t="inlineStr">
        <is>
          <t>BK1: Nhất bảng A vs Nhất bảng B; BK2: Nhất bảng C vs Nhất bảng D</t>
        </is>
      </c>
      <c r="D16" s="10">
        <f>'Timeline (5W1H)'!B18</f>
        <v/>
      </c>
      <c r="E16" s="10">
        <f>'Timeline (5W1H)'!C18</f>
        <v/>
      </c>
      <c r="F16" s="5" t="inlineStr">
        <is>
          <t>Tường thuật trực tiếp</t>
        </is>
      </c>
      <c r="G16" s="5" t="inlineStr">
        <is>
          <t>2 trọng tài (Dây 1–2) bấm giờ 10 phút</t>
        </is>
      </c>
      <c r="H16" s="5" t="inlineStr">
        <is>
          <t>Nhập kết quả bán kết ngay khi kết thúc</t>
        </is>
      </c>
      <c r="I16" s="5" t="inlineStr">
        <is>
          <t>Thông báo nghỉ ngắn tại chỗ, chờ tổng hợp kết quả bán kết</t>
        </is>
      </c>
      <c r="J16" s="5" t="n"/>
    </row>
    <row r="17" ht="61.5" customHeight="1" s="31">
      <c r="A17" s="2" t="n">
        <v>13</v>
      </c>
      <c r="B17" s="17" t="inlineStr">
        <is>
          <t>Tổng hợp bán kết</t>
        </is>
      </c>
      <c r="C17" s="5" t="inlineStr">
        <is>
          <t>Chốt kết quả bán kết cả 2 môn, xác định đội vào chung kết</t>
        </is>
      </c>
      <c r="D17" s="10">
        <f>'Timeline (5W1H)'!B19</f>
        <v/>
      </c>
      <c r="E17" s="10">
        <f>'Timeline (5W1H)'!C19</f>
        <v/>
      </c>
      <c r="F17" s="5" t="inlineStr">
        <is>
          <t>Hâm nóng không khí, mời khán giả tập trung quanh sân trung tâm</t>
        </is>
      </c>
      <c r="G17" s="5" t="inlineStr">
        <is>
          <t>Di chuyển về Sân 1 / Dây 1 (vị trí chung kết)</t>
        </is>
      </c>
      <c r="H17" s="5" t="inlineStr">
        <is>
          <t>Xem tự động sheet 'Tổng kết' mục 3, xác nhận danh sách chung kết</t>
        </is>
      </c>
      <c r="I17" s="5" t="inlineStr">
        <is>
          <t>Ổn định khán giả quanh khu vực sân trung tâm</t>
        </is>
      </c>
      <c r="J17" s="5" t="n"/>
    </row>
    <row r="18" ht="61.5" customHeight="1" s="31">
      <c r="A18" s="2" t="n">
        <v>14</v>
      </c>
      <c r="B18" s="17" t="inlineStr">
        <is>
          <t>Bóng né — Chung kết</t>
        </is>
      </c>
      <c r="C18" s="5" t="inlineStr">
        <is>
          <t>Chung kết Bóng né</t>
        </is>
      </c>
      <c r="D18" s="10">
        <f>'Timeline (5W1H)'!B20</f>
        <v/>
      </c>
      <c r="E18" s="10">
        <f>'Timeline (5W1H)'!C20</f>
        <v/>
      </c>
      <c r="F18" s="5" t="inlineStr">
        <is>
          <t>Tường thuật trực tiếp cao trào</t>
        </is>
      </c>
      <c r="G18" s="5" t="inlineStr">
        <is>
          <t>1 trọng tài chính Sân 1 bấm giờ 10 phút.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18" s="5" t="inlineStr">
        <is>
          <t>Nhập kết quả chung kết Bóng né ngay khi kết thúc</t>
        </is>
      </c>
      <c r="I18" s="5" t="inlineStr">
        <is>
          <t>Từ phút thứ 7, xác nhận đội chung kết Kéo co đã sẵn sàng</t>
        </is>
      </c>
      <c r="J18" s="5" t="n"/>
    </row>
    <row r="19" ht="61.5" customHeight="1" s="31">
      <c r="A19" s="2" t="n">
        <v>15</v>
      </c>
      <c r="B19" s="17" t="inlineStr">
        <is>
          <t>Kéo co — Chung kết</t>
        </is>
      </c>
      <c r="C19" s="5" t="inlineStr">
        <is>
          <t>Chung kết Kéo co</t>
        </is>
      </c>
      <c r="D19" s="10">
        <f>'Timeline (5W1H)'!B21</f>
        <v/>
      </c>
      <c r="E19" s="10">
        <f>'Timeline (5W1H)'!C21</f>
        <v/>
      </c>
      <c r="F19" s="5" t="inlineStr">
        <is>
          <t>Tường thuật trực tiếp, khuấy động khán giả 2 bên</t>
        </is>
      </c>
      <c r="G19" s="5" t="inlineStr">
        <is>
          <t>1 trọng tài chính Dây 1 bấm giờ 10 phút</t>
        </is>
      </c>
      <c r="H19" s="5" t="inlineStr">
        <is>
          <t>Nhập kết quả chung kết Kéo co</t>
        </is>
      </c>
      <c r="I19" s="5" t="inlineStr">
        <is>
          <t>Hỗ trợ khán giả, giữ trật tự quanh khu vực dây</t>
        </is>
      </c>
      <c r="J19" s="5" t="n"/>
    </row>
    <row r="20" ht="61.5" customHeight="1" s="31">
      <c r="A20" s="2" t="n">
        <v>16</v>
      </c>
      <c r="B20" s="17" t="inlineStr">
        <is>
          <t>Tổng hợp &amp; chuẩn bị khen thưởng</t>
        </is>
      </c>
      <c r="C20" s="5" t="inlineStr">
        <is>
          <t>Chốt vô địch 2 môn; chuẩn bị bằng khen, cúp, phần thưởng đúng thứ tự</t>
        </is>
      </c>
      <c r="D20" s="10">
        <f>'Timeline (5W1H)'!B22</f>
        <v/>
      </c>
      <c r="E20" s="10">
        <f>'Timeline (5W1H)'!C22</f>
        <v/>
      </c>
      <c r="F20" s="5" t="inlineStr">
        <is>
          <t>Nhận danh sách xếp hạng cuối từ thư ký, chuẩn bị kịch bản xướng tên</t>
        </is>
      </c>
      <c r="G20" s="5" t="inlineStr">
        <is>
          <t>Bàn giao biên bản trận đấu cho BTC</t>
        </is>
      </c>
      <c r="H20" s="5" t="inlineStr">
        <is>
          <t>Chốt danh sách từ sheet 'Tổng kết', bàn giao cho bộ phận khen thưởng</t>
        </is>
      </c>
      <c r="I20" s="5" t="inlineStr">
        <is>
          <t>Xếp bằng khen/cúp đúng thứ tự MC sẽ xướng tên, kiểm đếm đủ số lượng</t>
        </is>
      </c>
      <c r="J20" s="5" t="inlineStr">
        <is>
          <t>Bằng khen, cúp, phần thưởng</t>
        </is>
      </c>
    </row>
    <row r="21" ht="61.5" customHeight="1" s="31">
      <c r="A21" s="2" t="n">
        <v>17</v>
      </c>
      <c r="B21" s="17" t="inlineStr">
        <is>
          <t>Trao giải</t>
        </is>
      </c>
      <c r="C21" s="5" t="inlineStr">
        <is>
          <t>Trao giải Vô địch Bóng né, Vô địch Kéo co + chụp ảnh lưu niệm</t>
        </is>
      </c>
      <c r="D21" s="10">
        <f>'Timeline (5W1H)'!B23</f>
        <v/>
      </c>
      <c r="E21" s="10">
        <f>'Timeline (5W1H)'!C23</f>
        <v/>
      </c>
      <c r="F21" s="5" t="inlineStr">
        <is>
          <t>Xướng tên đúng thứ tự đã chuẩn bị, dẫn dắt lễ trao giải</t>
        </is>
      </c>
      <c r="G21" s="5" t="inlineStr">
        <is>
          <t>Hỗ trợ chung, đứng dự phòng</t>
        </is>
      </c>
      <c r="H21" s="5" t="inlineStr">
        <is>
          <t>Lưu trữ toàn bộ biên bản, xuất file kết quả cuối cùng</t>
        </is>
      </c>
      <c r="I21" s="5" t="inlineStr">
        <is>
          <t>Hỗ trợ đội lên sân khấu, hỗ trợ chụp ảnh</t>
        </is>
      </c>
      <c r="J21" s="5" t="n"/>
    </row>
    <row r="22" ht="61.5" customHeight="1" s="31">
      <c r="A22" s="2" t="n">
        <v>18</v>
      </c>
      <c r="B22" s="17" t="inlineStr">
        <is>
          <t>Dự phòng</t>
        </is>
      </c>
      <c r="C22" s="5" t="inlineStr">
        <is>
          <t>Xử lý phát sinh (trễ giờ, thời tiết, sự cố kỹ thuật)</t>
        </is>
      </c>
      <c r="D22" s="10">
        <f>'Timeline (5W1H)'!B24</f>
        <v/>
      </c>
      <c r="E22" s="10">
        <f>'Timeline (5W1H)'!C24</f>
        <v/>
      </c>
      <c r="F22" s="5" t="inlineStr">
        <is>
          <t>Chờ lệnh BTC</t>
        </is>
      </c>
      <c r="G22" s="5" t="inlineStr">
        <is>
          <t>Chờ lệnh BTC</t>
        </is>
      </c>
      <c r="H22" s="5" t="inlineStr">
        <is>
          <t>Chờ lệnh BTC</t>
        </is>
      </c>
      <c r="I22" s="5" t="inlineStr">
        <is>
          <t>Chờ lệnh BTC</t>
        </is>
      </c>
      <c r="J22" s="5" t="n"/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7109375" defaultRowHeight="15"/>
  <cols>
    <col width="5" customWidth="1" style="31" min="1" max="1"/>
    <col width="16" customWidth="1" style="31" min="2" max="2"/>
    <col width="32" customWidth="1" style="31" min="3" max="3"/>
    <col width="9" customWidth="1" style="31" min="4" max="5"/>
    <col width="26" customWidth="1" style="31" min="6" max="6"/>
    <col width="32" customWidth="1" style="31" min="7" max="7"/>
    <col width="28" customWidth="1" style="31" min="8" max="9"/>
  </cols>
  <sheetData>
    <row r="1" ht="19.5" customHeight="1" s="31">
      <c r="A1" s="30" t="inlineStr">
        <is>
          <t>KỊCH BẢN DỰ PHÒNG — 2 SÂN BÓNG NÉ (1 LƯỢT = 2 TRẬN SONG SONG)</t>
        </is>
      </c>
    </row>
    <row r="2" ht="15" customHeight="1" s="31">
      <c r="A2" s="33" t="inlineStr">
        <is>
          <t>Dùng nếu venue CHỈ bố trí được 2 sân bóng né thay vì 4 sân như kế hoạch chính. Vòng bảng Bóng né cần 6 lượt (thay vì 3) — toàn chương trình kéo dài thêm ~30 phút so với bản chính (4 sân). Kéo co giữ nguyên 3 dây như bản chính.</t>
        </is>
      </c>
    </row>
    <row r="3" ht="15" customHeight="1" s="31">
      <c r="A3" s="36" t="inlineStr">
        <is>
          <t>Sheet này ĐỘC LẬP với hệ thống chính (không liên kết Lịch thi đấu/Nhập kết quả) — chỉ dùng để tham khảo/in kịch bản nếu phải lùi về phương án 2 sân.</t>
        </is>
      </c>
    </row>
    <row r="5" ht="30" customHeight="1" s="31">
      <c r="A5" s="1" t="inlineStr">
        <is>
          <t>STT</t>
        </is>
      </c>
      <c r="B5" s="1" t="inlineStr">
        <is>
          <t>Tiết mục</t>
        </is>
      </c>
      <c r="C5" s="1" t="inlineStr">
        <is>
          <t>Công việc chi tiết</t>
        </is>
      </c>
      <c r="D5" s="1" t="inlineStr">
        <is>
          <t>Bắt đầu</t>
        </is>
      </c>
      <c r="E5" s="1" t="inlineStr">
        <is>
          <t>Kết thúc</t>
        </is>
      </c>
      <c r="F5" s="1" t="inlineStr">
        <is>
          <t>MC</t>
        </is>
      </c>
      <c r="G5" s="1" t="inlineStr">
        <is>
          <t>Trọng tài</t>
        </is>
      </c>
      <c r="H5" s="1" t="inlineStr">
        <is>
          <t>Thư ký ghi kết quả</t>
        </is>
      </c>
      <c r="I5" s="1" t="inlineStr">
        <is>
          <t>Người hỗ trợ (TNV)</t>
        </is>
      </c>
    </row>
    <row r="6" ht="61.5" customHeight="1" s="31">
      <c r="A6" s="2" t="n">
        <v>1</v>
      </c>
      <c r="B6" s="17" t="inlineStr">
        <is>
          <t>Khai mạc</t>
        </is>
      </c>
      <c r="C6" s="5" t="inlineStr">
        <is>
          <t>Khai mạc chớp nhoáng, phổ biến luật 2 môn</t>
        </is>
      </c>
      <c r="D6" s="3">
        <f>D7-10/1440</f>
        <v/>
      </c>
      <c r="E6" s="3">
        <f>D6+10/1440</f>
        <v/>
      </c>
      <c r="F6" s="5" t="inlineStr">
        <is>
          <t>Dẫn dắt khai mạc, phổ biến luật; phát tờ luật in sẵn cho 12 đội trưởng</t>
        </is>
      </c>
      <c r="G6" s="5" t="inlineStr">
        <is>
          <t>5 trọng tài (2 sân Bóng né + 3 dây Kéo co) tập trung nhận sơ đồ vị trí, đồng bộ đồng hồ</t>
        </is>
      </c>
      <c r="H6" s="5" t="inlineStr">
        <is>
          <t>Chuẩn bị file kết quả, kiểm tra máy tính/kết nối mạng</t>
        </is>
      </c>
      <c r="I6" s="5" t="inlineStr">
        <is>
          <t>Từ phút thứ 7, đưa các đội của Lượt 1 Bóng né vào đúng sân</t>
        </is>
      </c>
    </row>
    <row r="7" ht="99.75" customHeight="1" s="31">
      <c r="A7" s="2" t="n">
        <v>2</v>
      </c>
      <c r="B7" s="17" t="inlineStr">
        <is>
          <t>Bóng né — Lượt 1</t>
        </is>
      </c>
      <c r="C7" s="5" t="inlineStr">
        <is>
          <t>Vòng bảng Lượt 1, 2 trận song song:
Sân 1 (Bảng A): Đội 10 (KV Yên Nghĩa/Văn Quán 2-3)  vs  Đội 4 (KV Đặng Thùy Trâm/Phạm Tuấn Tài 3/Láng Hạ/Mê Linh)
Sân 2 (Bảng C): Đội 9 (KV Thanh Trì/Trần Đại Nghĩa 2/Lê Duẩn HP/Lạch Tray HP)  vs  Đội 3 (Trụ sở – Khối TNKH &amp; Truyền thông Marketing)</t>
        </is>
      </c>
      <c r="D7" s="6" t="inlineStr">
        <is>
          <t>10:15</t>
        </is>
      </c>
      <c r="E7" s="3">
        <f>D7+10/1440</f>
        <v/>
      </c>
      <c r="F7" s="5" t="inlineStr">
        <is>
          <t>Giới thiệu nhanh cặp đấu từng sân qua loa</t>
        </is>
      </c>
      <c r="G7" s="5" t="inlineStr">
        <is>
          <t>2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7" s="5" t="inlineStr">
        <is>
          <t>Nhận kết quả từ 2 trọng tài, nhập ngay</t>
        </is>
      </c>
      <c r="I7" s="5" t="inlineStr">
        <is>
          <t>Từ phút thứ 7, xác nhận các đội của Lượt 2 đã có mặt tại khu chờ đúng sân</t>
        </is>
      </c>
    </row>
    <row r="8" ht="99.75" customHeight="1" s="31">
      <c r="A8" s="2" t="n">
        <v>3</v>
      </c>
      <c r="B8" s="17" t="inlineStr">
        <is>
          <t>Bóng né — Lượt 2</t>
        </is>
      </c>
      <c r="C8" s="5" t="inlineStr">
        <is>
          <t>Vòng bảng Lượt 2, 2 trận song song:
Sân 1 (Bảng B): Đội 12 (KV Gia Lâm/Giải Phóng/Lê Thanh Nghị 2)  vs  Đội 1 (Trụ sở – Khối Sản xuất - Vận hành)
Sân 2 (Bảng D): Đội 6 (KV Nguyễn Khuyến 1/Quang Trung/Văn Phú)  vs  Đội 7 (KV Văn Quán 1/Nguyễn Khuyến/Lê Thanh Nghị HD)</t>
        </is>
      </c>
      <c r="D8" s="3">
        <f>E7</f>
        <v/>
      </c>
      <c r="E8" s="3">
        <f>D8+10/1440</f>
        <v/>
      </c>
      <c r="F8" s="5" t="inlineStr">
        <is>
          <t>Giới thiệu nhanh cặp đấu từng sân qua loa</t>
        </is>
      </c>
      <c r="G8" s="5" t="inlineStr">
        <is>
          <t>2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8" s="5" t="inlineStr">
        <is>
          <t>Nhận kết quả từ 2 trọng tài, nhập ngay</t>
        </is>
      </c>
      <c r="I8" s="5" t="inlineStr">
        <is>
          <t>Từ phút thứ 7, xác nhận các đội của Lượt 3 đã có mặt tại khu chờ đúng sân</t>
        </is>
      </c>
    </row>
    <row r="9" ht="99.75" customHeight="1" s="31">
      <c r="A9" s="2" t="n">
        <v>4</v>
      </c>
      <c r="B9" s="17" t="inlineStr">
        <is>
          <t>Bóng né — Lượt 3</t>
        </is>
      </c>
      <c r="C9" s="5" t="inlineStr">
        <is>
          <t>Vòng bảng Lượt 3, 2 trận song song:
Sân 1 (Bảng A): Đội 10 (KV Yên Nghĩa/Văn Quán 2-3)  vs  Đội 5 (KV Trần Quốc Vượng/Xuân Thủy/Hoàng Quốc Việt/Bắc Từ Liêm)
Sân 2 (Bảng C): Đội 9 (KV Thanh Trì/Trần Đại Nghĩa 2/Lê Duẩn HP/Lạch Tray HP)  vs  Đội 8 (KV Thái Hà/Xuân Quỳnh/Tam Khương...)</t>
        </is>
      </c>
      <c r="D9" s="3">
        <f>E8</f>
        <v/>
      </c>
      <c r="E9" s="3">
        <f>D9+10/1440</f>
        <v/>
      </c>
      <c r="F9" s="5" t="inlineStr">
        <is>
          <t>Giới thiệu nhanh cặp đấu từng sân qua loa</t>
        </is>
      </c>
      <c r="G9" s="5" t="inlineStr">
        <is>
          <t>2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9" s="5" t="inlineStr">
        <is>
          <t>Nhận kết quả từ 2 trọng tài, nhập ngay</t>
        </is>
      </c>
      <c r="I9" s="5" t="inlineStr">
        <is>
          <t>Từ phút thứ 7, xác nhận các đội của Lượt 4 đã có mặt tại khu chờ đúng sân</t>
        </is>
      </c>
    </row>
    <row r="10" ht="99.75" customHeight="1" s="31">
      <c r="A10" s="2" t="n">
        <v>5</v>
      </c>
      <c r="B10" s="17" t="inlineStr">
        <is>
          <t>Bóng né — Lượt 4</t>
        </is>
      </c>
      <c r="C10" s="5" t="inlineStr">
        <is>
          <t>Vòng bảng Lượt 4, 2 trận song song:
Sân 1 (Bảng B): Đội 12 (KV Gia Lâm/Giải Phóng/Lê Thanh Nghị 2)  vs  Đội 2 (Trụ sở – Khối Quản trị)
Sân 2 (Bảng D): Đội 6 (KV Nguyễn Khuyến 1/Quang Trung/Văn Phú)  vs  Đội 11 (KV Phùng Khoang/Bắc Sơn/MonBay/Hoàng Diệu/Phong Châu)</t>
        </is>
      </c>
      <c r="D10" s="3">
        <f>E9</f>
        <v/>
      </c>
      <c r="E10" s="3">
        <f>D10+10/1440</f>
        <v/>
      </c>
      <c r="F10" s="5" t="inlineStr">
        <is>
          <t>Giới thiệu nhanh cặp đấu từng sân qua loa</t>
        </is>
      </c>
      <c r="G10" s="5" t="inlineStr">
        <is>
          <t>2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10" s="5" t="inlineStr">
        <is>
          <t>Nhận kết quả từ 2 trọng tài, nhập ngay</t>
        </is>
      </c>
      <c r="I10" s="5" t="inlineStr">
        <is>
          <t>Từ phút thứ 7, xác nhận các đội của Lượt 5 đã có mặt tại khu chờ đúng sân</t>
        </is>
      </c>
    </row>
    <row r="11" ht="99.75" customHeight="1" s="31">
      <c r="A11" s="2" t="n">
        <v>6</v>
      </c>
      <c r="B11" s="17" t="inlineStr">
        <is>
          <t>Bóng né — Lượt 5</t>
        </is>
      </c>
      <c r="C11" s="5" t="inlineStr">
        <is>
          <t>Vòng bảng Lượt 5, 2 trận song song:
Sân 1 (Bảng A): Đội 4 (KV Đặng Thùy Trâm/Phạm Tuấn Tài 3/Láng Hạ/Mê Linh)  vs  Đội 5 (KV Trần Quốc Vượng/Xuân Thủy/Hoàng Quốc Việt/Bắc Từ Liêm)
Sân 2 (Bảng C): Đội 3 (Trụ sở – Khối TNKH &amp; Truyền thông Marketing)  vs  Đội 8 (KV Thái Hà/Xuân Quỳnh/Tam Khương...)</t>
        </is>
      </c>
      <c r="D11" s="3">
        <f>E10</f>
        <v/>
      </c>
      <c r="E11" s="3">
        <f>D11+10/1440</f>
        <v/>
      </c>
      <c r="F11" s="5" t="inlineStr">
        <is>
          <t>Giới thiệu nhanh cặp đấu từng sân qua loa</t>
        </is>
      </c>
      <c r="G11" s="5" t="inlineStr">
        <is>
          <t>2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11" s="5" t="inlineStr">
        <is>
          <t>Nhận kết quả từ 2 trọng tài, nhập ngay</t>
        </is>
      </c>
      <c r="I11" s="5" t="inlineStr">
        <is>
          <t>Từ phút thứ 7, xác nhận các đội của Lượt 6 đã có mặt tại khu chờ đúng sân</t>
        </is>
      </c>
    </row>
    <row r="12" ht="99.75" customHeight="1" s="31">
      <c r="A12" s="2" t="n">
        <v>7</v>
      </c>
      <c r="B12" s="17" t="inlineStr">
        <is>
          <t>Bóng né — Lượt 6</t>
        </is>
      </c>
      <c r="C12" s="5" t="inlineStr">
        <is>
          <t>Vòng bảng Lượt 6, 2 trận song song:
Sân 1 (Bảng B): Đội 1 (Trụ sở – Khối Sản xuất - Vận hành)  vs  Đội 2 (Trụ sở – Khối Quản trị)
Sân 2 (Bảng D): Đội 7 (KV Văn Quán 1/Nguyễn Khuyến/Lê Thanh Nghị HD)  vs  Đội 11 (KV Phùng Khoang/Bắc Sơn/MonBay/Hoàng Diệu/Phong Châu)</t>
        </is>
      </c>
      <c r="D12" s="3">
        <f>E11</f>
        <v/>
      </c>
      <c r="E12" s="3">
        <f>D12+10/1440</f>
        <v/>
      </c>
      <c r="F12" s="5" t="inlineStr">
        <is>
          <t>Thông báo kết thúc vòng bảng Bóng né, mời di chuyển</t>
        </is>
      </c>
      <c r="G12" s="5" t="inlineStr">
        <is>
          <t>2 trọng tài chính bấm giờ 10 phút/sân, xử lý loại người, công bố kết quả.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12" s="5" t="inlineStr">
        <is>
          <t>Nhận kết quả từ 2 trọng tài, nhập ngay</t>
        </is>
      </c>
      <c r="I12" s="5" t="inlineStr">
        <is>
          <t>Từ phút thứ 7, dẫn 12 đội di chuyển dần sang khu kéo co</t>
        </is>
      </c>
    </row>
    <row r="13" ht="61.5" customHeight="1" s="31">
      <c r="A13" s="2" t="n">
        <v>8</v>
      </c>
      <c r="B13" s="17" t="inlineStr">
        <is>
          <t>Chuyển khu vực</t>
        </is>
      </c>
      <c r="C13" s="5" t="inlineStr">
        <is>
          <t>Di chuyển sang khu kéo co, phát nước</t>
        </is>
      </c>
      <c r="D13" s="3">
        <f>E12</f>
        <v/>
      </c>
      <c r="E13" s="3">
        <f>D13+10/1440</f>
        <v/>
      </c>
      <c r="F13" s="5" t="inlineStr">
        <is>
          <t>Giữ nhịp bằng nhạc nền, thông báo di chuyển</t>
        </is>
      </c>
      <c r="G13" s="5" t="inlineStr">
        <is>
          <t>Di chuyển sang vị trí Dây 1–3, kiểm tra dây kéo co</t>
        </is>
      </c>
      <c r="H13" s="5" t="inlineStr">
        <is>
          <t>Rà soát lại đã nhập đủ 12 trận vòng bảng Bóng né</t>
        </is>
      </c>
      <c r="I13" s="5" t="inlineStr">
        <is>
          <t>Hướng dẫn theo màu đội; xác nhận đội Lượt 1 Kéo co vào vị trí</t>
        </is>
      </c>
    </row>
    <row r="14" ht="99.75" customHeight="1" s="31">
      <c r="A14" s="2" t="n">
        <v>9</v>
      </c>
      <c r="B14" s="17" t="inlineStr">
        <is>
          <t>Kéo co — Lượt 1</t>
        </is>
      </c>
      <c r="C14" s="5" t="inlineStr">
        <is>
          <t>Vòng bảng Lượt 1, 3 trận song song:
Dây 1 (Bảng A): Đội 10 (KV Yên Nghĩa/Văn Quán 2-3)  vs  Đội 4 (KV Đặng Thùy Trâm/Phạm Tuấn Tài 3/Láng Hạ/Mê Linh)
Dây 2 (Bảng B): Đội 12 (KV Gia Lâm/Giải Phóng/Lê Thanh Nghị 2)  vs  Đội 1 (Trụ sở – Khối Sản xuất - Vận hành)
Dây 3 (Bảng C): Đội 9 (KV Thanh Trì/Trần Đại Nghĩa 2/Lê Duẩn HP/Lạch Tray HP)  vs  Đội 3 (Trụ sở – Khối TNKH &amp; Truyền thông Marketing)</t>
        </is>
      </c>
      <c r="D14" s="3">
        <f>E13</f>
        <v/>
      </c>
      <c r="E14" s="3">
        <f>D14+10/1440</f>
        <v/>
      </c>
      <c r="F14" s="5" t="inlineStr">
        <is>
          <t>Giới thiệu nhanh cặp đấu từng dây qua loa</t>
        </is>
      </c>
      <c r="G14" s="5" t="inlineStr">
        <is>
          <t>3 trọng tài chính bấm giờ 10 phút/dây, áp dụng luật dừng cứng khi hết giờ</t>
        </is>
      </c>
      <c r="H14" s="5" t="inlineStr">
        <is>
          <t>Nhận kết quả từ 3 trọng tài, nhập ngay</t>
        </is>
      </c>
      <c r="I14" s="5" t="inlineStr">
        <is>
          <t>Từ phút thứ 7, xác nhận các đội của Lượt 2 đã có mặt tại vị trí chờ</t>
        </is>
      </c>
    </row>
    <row r="15" ht="99.75" customHeight="1" s="31">
      <c r="A15" s="2" t="n">
        <v>10</v>
      </c>
      <c r="B15" s="17" t="inlineStr">
        <is>
          <t>Kéo co — Lượt 2</t>
        </is>
      </c>
      <c r="C15" s="5" t="inlineStr">
        <is>
          <t>Vòng bảng Lượt 2, 3 trận song song:
Dây 1 (Bảng D): Đội 6 (KV Nguyễn Khuyến 1/Quang Trung/Văn Phú)  vs  Đội 7 (KV Văn Quán 1/Nguyễn Khuyến/Lê Thanh Nghị HD)
Dây 2 (Bảng A): Đội 10 (KV Yên Nghĩa/Văn Quán 2-3)  vs  Đội 5 (KV Trần Quốc Vượng/Xuân Thủy/Hoàng Quốc Việt/Bắc Từ Liêm)
Dây 3 (Bảng B): Đội 12 (KV Gia Lâm/Giải Phóng/Lê Thanh Nghị 2)  vs  Đội 2 (Trụ sở – Khối Quản trị)</t>
        </is>
      </c>
      <c r="D15" s="3">
        <f>E14</f>
        <v/>
      </c>
      <c r="E15" s="3">
        <f>D15+10/1440</f>
        <v/>
      </c>
      <c r="F15" s="5" t="inlineStr">
        <is>
          <t>Giới thiệu nhanh cặp đấu từng dây qua loa</t>
        </is>
      </c>
      <c r="G15" s="5" t="inlineStr">
        <is>
          <t>3 trọng tài chính bấm giờ 10 phút/dây, áp dụng luật dừng cứng khi hết giờ</t>
        </is>
      </c>
      <c r="H15" s="5" t="inlineStr">
        <is>
          <t>Nhận kết quả từ 3 trọng tài, nhập ngay</t>
        </is>
      </c>
      <c r="I15" s="5" t="inlineStr">
        <is>
          <t>Từ phút thứ 7, xác nhận các đội của Lượt 3 đã có mặt tại vị trí chờ</t>
        </is>
      </c>
    </row>
    <row r="16" ht="99.75" customHeight="1" s="31">
      <c r="A16" s="2" t="n">
        <v>11</v>
      </c>
      <c r="B16" s="17" t="inlineStr">
        <is>
          <t>Kéo co — Lượt 3</t>
        </is>
      </c>
      <c r="C16" s="5" t="inlineStr">
        <is>
          <t>Vòng bảng Lượt 3, 3 trận song song:
Dây 1 (Bảng C): Đội 9 (KV Thanh Trì/Trần Đại Nghĩa 2/Lê Duẩn HP/Lạch Tray HP)  vs  Đội 8 (KV Thái Hà/Xuân Quỳnh/Tam Khương...)
Dây 2 (Bảng D): Đội 6 (KV Nguyễn Khuyến 1/Quang Trung/Văn Phú)  vs  Đội 11 (KV Phùng Khoang/Bắc Sơn/MonBay/Hoàng Diệu/Phong Châu)
Dây 3 (Bảng A): Đội 4 (KV Đặng Thùy Trâm/Phạm Tuấn Tài 3/Láng Hạ/Mê Linh)  vs  Đội 5 (KV Trần Quốc Vượng/Xuân Thủy/Hoàng Quốc Việt/Bắc Từ Liêm)</t>
        </is>
      </c>
      <c r="D16" s="3">
        <f>E15</f>
        <v/>
      </c>
      <c r="E16" s="3">
        <f>D16+10/1440</f>
        <v/>
      </c>
      <c r="F16" s="5" t="inlineStr">
        <is>
          <t>Giới thiệu nhanh cặp đấu từng dây qua loa</t>
        </is>
      </c>
      <c r="G16" s="5" t="inlineStr">
        <is>
          <t>3 trọng tài chính bấm giờ 10 phút/dây, áp dụng luật dừng cứng khi hết giờ</t>
        </is>
      </c>
      <c r="H16" s="5" t="inlineStr">
        <is>
          <t>Nhận kết quả từ 3 trọng tài, nhập ngay</t>
        </is>
      </c>
      <c r="I16" s="5" t="inlineStr">
        <is>
          <t>Từ phút thứ 7, xác nhận các đội của Lượt 4 đã có mặt tại vị trí chờ</t>
        </is>
      </c>
    </row>
    <row r="17" ht="99.75" customHeight="1" s="31">
      <c r="A17" s="2" t="n">
        <v>12</v>
      </c>
      <c r="B17" s="17" t="inlineStr">
        <is>
          <t>Kéo co — Lượt 4</t>
        </is>
      </c>
      <c r="C17" s="5" t="inlineStr">
        <is>
          <t>Vòng bảng Lượt 4, 3 trận song song:
Dây 1 (Bảng B): Đội 1 (Trụ sở – Khối Sản xuất - Vận hành)  vs  Đội 2 (Trụ sở – Khối Quản trị)
Dây 2 (Bảng C): Đội 3 (Trụ sở – Khối TNKH &amp; Truyền thông Marketing)  vs  Đội 8 (KV Thái Hà/Xuân Quỳnh/Tam Khương...)
Dây 3 (Bảng D): Đội 7 (KV Văn Quán 1/Nguyễn Khuyến/Lê Thanh Nghị HD)  vs  Đội 11 (KV Phùng Khoang/Bắc Sơn/MonBay/Hoàng Diệu/Phong Châu)</t>
        </is>
      </c>
      <c r="D17" s="3">
        <f>E16</f>
        <v/>
      </c>
      <c r="E17" s="3">
        <f>D17+10/1440</f>
        <v/>
      </c>
      <c r="F17" s="5" t="inlineStr">
        <is>
          <t>Thông báo kết thúc vòng bảng, mời nghỉ ngắn</t>
        </is>
      </c>
      <c r="G17" s="5" t="inlineStr">
        <is>
          <t>3 trọng tài chính bấm giờ 10 phút/dây, áp dụng luật dừng cứng khi hết giờ</t>
        </is>
      </c>
      <c r="H17" s="5" t="inlineStr">
        <is>
          <t>Nhận kết quả từ 3 trọng tài, nhập ngay</t>
        </is>
      </c>
      <c r="I17" s="5" t="inlineStr">
        <is>
          <t>Thông báo nghỉ giải lao ngắn tại chỗ, chờ tổng hợp</t>
        </is>
      </c>
    </row>
    <row r="18" ht="61.5" customHeight="1" s="31">
      <c r="A18" s="2" t="n">
        <v>13</v>
      </c>
      <c r="B18" s="17" t="inlineStr">
        <is>
          <t>Tổng hợp vòng bảng</t>
        </is>
      </c>
      <c r="C18" s="5" t="inlineStr">
        <is>
          <t>Chốt bảng xếp hạng vòng bảng cả 2 môn, xác định đội vào bán kết</t>
        </is>
      </c>
      <c r="D18" s="3">
        <f>E17</f>
        <v/>
      </c>
      <c r="E18" s="3">
        <f>D18+10/1440</f>
        <v/>
      </c>
      <c r="F18" s="5" t="inlineStr">
        <is>
          <t>Giao lưu / minigame khán giả giữ nhịp trong lúc chờ</t>
        </is>
      </c>
      <c r="G18" s="5" t="inlineStr">
        <is>
          <t>Nghỉ ngắn, di chuyển vào vị trí Sân 1–2 / Dây 1–2 (bán kết)</t>
        </is>
      </c>
      <c r="H18" s="5" t="inlineStr">
        <is>
          <t>Chốt bảng điểm, xác nhận danh sách bán kết</t>
        </is>
      </c>
      <c r="I18" s="5" t="inlineStr">
        <is>
          <t>Chuẩn bị nước, khăn cho các đội nghỉ giải lao</t>
        </is>
      </c>
    </row>
    <row r="19" ht="61.5" customHeight="1" s="31">
      <c r="A19" s="2" t="n">
        <v>14</v>
      </c>
      <c r="B19" s="17" t="inlineStr">
        <is>
          <t>Bóng né — Bán kết</t>
        </is>
      </c>
      <c r="C19" s="5" t="inlineStr">
        <is>
          <t>BK1: Nhất bảng A vs Nhất bảng B; BK2: Nhất bảng C vs Nhất bảng D</t>
        </is>
      </c>
      <c r="D19" s="3">
        <f>E18</f>
        <v/>
      </c>
      <c r="E19" s="3">
        <f>D19+10/1440</f>
        <v/>
      </c>
      <c r="F19" s="5" t="inlineStr">
        <is>
          <t>Tường thuật trực tiếp, tạo không khí</t>
        </is>
      </c>
      <c r="G19" s="5" t="inlineStr">
        <is>
          <t>2 trọng tài (Sân 1–2) bấm giờ 10 phút, xử lý tình huống.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19" s="5" t="inlineStr">
        <is>
          <t>Nhập kết quả bán kết ngay khi kết thúc</t>
        </is>
      </c>
      <c r="I19" s="5" t="inlineStr">
        <is>
          <t>Từ phút thứ 7, xác nhận đội bán kết Kéo co đã có mặt tại khu kéo co</t>
        </is>
      </c>
    </row>
    <row r="20" ht="61.5" customHeight="1" s="31">
      <c r="A20" s="2" t="n">
        <v>15</v>
      </c>
      <c r="B20" s="17" t="inlineStr">
        <is>
          <t>Kéo co — Bán kết</t>
        </is>
      </c>
      <c r="C20" s="5" t="inlineStr">
        <is>
          <t>BK1: Nhất bảng A vs Nhất bảng B; BK2: Nhất bảng C vs Nhất bảng D</t>
        </is>
      </c>
      <c r="D20" s="3">
        <f>E19</f>
        <v/>
      </c>
      <c r="E20" s="3">
        <f>D20+10/1440</f>
        <v/>
      </c>
      <c r="F20" s="5" t="inlineStr">
        <is>
          <t>Tường thuật trực tiếp</t>
        </is>
      </c>
      <c r="G20" s="5" t="inlineStr">
        <is>
          <t>2 trọng tài (Dây 1–2) bấm giờ 10 phút</t>
        </is>
      </c>
      <c r="H20" s="5" t="inlineStr">
        <is>
          <t>Nhập kết quả bán kết ngay khi kết thúc</t>
        </is>
      </c>
      <c r="I20" s="5" t="inlineStr">
        <is>
          <t>Thông báo nghỉ ngắn tại chỗ, chờ tổng hợp kết quả bán kết</t>
        </is>
      </c>
    </row>
    <row r="21" ht="61.5" customHeight="1" s="31">
      <c r="A21" s="2" t="n">
        <v>16</v>
      </c>
      <c r="B21" s="17" t="inlineStr">
        <is>
          <t>Tổng hợp bán kết</t>
        </is>
      </c>
      <c r="C21" s="5" t="inlineStr">
        <is>
          <t>Chốt kết quả bán kết cả 2 môn, xác định đội vào chung kết</t>
        </is>
      </c>
      <c r="D21" s="3">
        <f>E20</f>
        <v/>
      </c>
      <c r="E21" s="3">
        <f>D21+10/1440</f>
        <v/>
      </c>
      <c r="F21" s="5" t="inlineStr">
        <is>
          <t>Hâm nóng không khí, mời khán giả tập trung quanh sân trung tâm</t>
        </is>
      </c>
      <c r="G21" s="5" t="inlineStr">
        <is>
          <t>Di chuyển về Sân 1 / Dây 1 (vị trí chung kết)</t>
        </is>
      </c>
      <c r="H21" s="5" t="inlineStr">
        <is>
          <t>Chốt danh sách chung kết</t>
        </is>
      </c>
      <c r="I21" s="5" t="inlineStr">
        <is>
          <t>Ổn định khán giả quanh khu vực sân trung tâm</t>
        </is>
      </c>
    </row>
    <row r="22" ht="61.5" customHeight="1" s="31">
      <c r="A22" s="2" t="n">
        <v>17</v>
      </c>
      <c r="B22" s="17" t="inlineStr">
        <is>
          <t>Bóng né — Chung kết</t>
        </is>
      </c>
      <c r="C22" s="5" t="inlineStr">
        <is>
          <t>Chung kết Bóng né</t>
        </is>
      </c>
      <c r="D22" s="3">
        <f>E21</f>
        <v/>
      </c>
      <c r="E22" s="3">
        <f>D22+10/1440</f>
        <v/>
      </c>
      <c r="F22" s="5" t="inlineStr">
        <is>
          <t>Tường thuật trực tiếp cao trào</t>
        </is>
      </c>
      <c r="G22" s="5" t="inlineStr">
        <is>
          <t>1 trọng tài chính Sân 1 bấm giờ 10 phút. Trước trận: 2 đội oẳn tù xì chọn đội ném trước; sau đó trọng tài lần lượt đến từng đội (đứng quây vòng tròn kín, đối phương không nhìn thấy) để báo bí mật ai là Nữ hoàng của đội mình.</t>
        </is>
      </c>
      <c r="H22" s="5" t="inlineStr">
        <is>
          <t>Nhập kết quả chung kết Bóng né ngay khi kết thúc</t>
        </is>
      </c>
      <c r="I22" s="5" t="inlineStr">
        <is>
          <t>Từ phút thứ 7, xác nhận đội chung kết Kéo co đã sẵn sàng</t>
        </is>
      </c>
    </row>
    <row r="23" ht="61.5" customHeight="1" s="31">
      <c r="A23" s="2" t="n">
        <v>18</v>
      </c>
      <c r="B23" s="17" t="inlineStr">
        <is>
          <t>Kéo co — Chung kết</t>
        </is>
      </c>
      <c r="C23" s="5" t="inlineStr">
        <is>
          <t>Chung kết Kéo co</t>
        </is>
      </c>
      <c r="D23" s="3">
        <f>E22</f>
        <v/>
      </c>
      <c r="E23" s="3">
        <f>D23+10/1440</f>
        <v/>
      </c>
      <c r="F23" s="5" t="inlineStr">
        <is>
          <t>Tường thuật trực tiếp, khuấy động khán giả 2 bên</t>
        </is>
      </c>
      <c r="G23" s="5" t="inlineStr">
        <is>
          <t>1 trọng tài chính Dây 1 bấm giờ 10 phút</t>
        </is>
      </c>
      <c r="H23" s="5" t="inlineStr">
        <is>
          <t>Nhập kết quả chung kết Kéo co</t>
        </is>
      </c>
      <c r="I23" s="5" t="inlineStr">
        <is>
          <t>Hỗ trợ khán giả, giữ trật tự quanh khu vực dây</t>
        </is>
      </c>
    </row>
    <row r="24" ht="61.5" customHeight="1" s="31">
      <c r="A24" s="2" t="n">
        <v>19</v>
      </c>
      <c r="B24" s="17" t="inlineStr">
        <is>
          <t>Tổng hợp &amp; chuẩn bị khen thưởng</t>
        </is>
      </c>
      <c r="C24" s="5" t="inlineStr">
        <is>
          <t>Chốt vô địch 2 môn; chuẩn bị bằng khen, cúp, phần thưởng đúng thứ tự</t>
        </is>
      </c>
      <c r="D24" s="3">
        <f>E23</f>
        <v/>
      </c>
      <c r="E24" s="3">
        <f>D24+15/1440</f>
        <v/>
      </c>
      <c r="F24" s="5" t="inlineStr">
        <is>
          <t>Nhận danh sách xếp hạng cuối, chuẩn bị kịch bản xướng tên</t>
        </is>
      </c>
      <c r="G24" s="5" t="inlineStr">
        <is>
          <t>Bàn giao biên bản trận đấu cho BTC</t>
        </is>
      </c>
      <c r="H24" s="5" t="inlineStr">
        <is>
          <t>Chốt danh sách, bàn giao cho bộ phận khen thưởng</t>
        </is>
      </c>
      <c r="I24" s="5" t="inlineStr">
        <is>
          <t>Xếp bằng khen/cúp đúng thứ tự MC sẽ xướng tên</t>
        </is>
      </c>
    </row>
    <row r="25" ht="61.5" customHeight="1" s="31">
      <c r="A25" s="2" t="n">
        <v>20</v>
      </c>
      <c r="B25" s="17" t="inlineStr">
        <is>
          <t>Trao giải</t>
        </is>
      </c>
      <c r="C25" s="5" t="inlineStr">
        <is>
          <t>Trao giải Vô địch Bóng né, Vô địch Kéo co + chụp ảnh lưu niệm</t>
        </is>
      </c>
      <c r="D25" s="3">
        <f>E24</f>
        <v/>
      </c>
      <c r="E25" s="3">
        <f>D25+15/1440</f>
        <v/>
      </c>
      <c r="F25" s="5" t="inlineStr">
        <is>
          <t>Xướng tên đúng thứ tự đã chuẩn bị, dẫn dắt lễ trao giải</t>
        </is>
      </c>
      <c r="G25" s="5" t="inlineStr">
        <is>
          <t>Hỗ trợ chung, đứng dự phòng</t>
        </is>
      </c>
      <c r="H25" s="5" t="inlineStr">
        <is>
          <t>Lưu trữ toàn bộ biên bản, xuất file kết quả cuối cùng</t>
        </is>
      </c>
      <c r="I25" s="5" t="inlineStr">
        <is>
          <t>Hỗ trợ đội lên sân khấu, hỗ trợ chụp ảnh</t>
        </is>
      </c>
    </row>
    <row r="26" ht="61.5" customHeight="1" s="31">
      <c r="A26" s="2" t="n">
        <v>21</v>
      </c>
      <c r="B26" s="17" t="inlineStr">
        <is>
          <t>Dự phòng</t>
        </is>
      </c>
      <c r="C26" s="5" t="inlineStr">
        <is>
          <t>Xử lý phát sinh (trễ giờ, thời tiết, sự cố kỹ thuật)</t>
        </is>
      </c>
      <c r="D26" s="3">
        <f>E25</f>
        <v/>
      </c>
      <c r="E26" s="3">
        <f>D26+15/1440</f>
        <v/>
      </c>
      <c r="F26" s="5" t="inlineStr">
        <is>
          <t>Chờ lệnh BTC</t>
        </is>
      </c>
      <c r="G26" s="5" t="inlineStr">
        <is>
          <t>Chờ lệnh BTC</t>
        </is>
      </c>
      <c r="H26" s="5" t="inlineStr">
        <is>
          <t>Chờ lệnh BTC</t>
        </is>
      </c>
      <c r="I26" s="5" t="inlineStr">
        <is>
          <t>Chờ lệnh BTC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style="31" min="1" max="1"/>
    <col width="10" customWidth="1" style="31" min="2" max="2"/>
    <col width="14" customWidth="1" style="31" min="3" max="6"/>
    <col width="11" customWidth="1" style="31" min="7" max="8"/>
    <col width="14" customWidth="1" style="31" min="9" max="9"/>
    <col width="18" customWidth="1" style="31" min="10" max="12"/>
    <col width="14" customWidth="1" style="31" min="13" max="13"/>
  </cols>
  <sheetData>
    <row r="1" ht="19.5" customHeight="1" s="31">
      <c r="A1" s="30" t="inlineStr">
        <is>
          <t>VŨ ĐÀI TRÍ TUỆ — VÒNG LOẠI (6 CẶP)</t>
        </is>
      </c>
    </row>
    <row r="2" ht="15" customHeight="1" s="31">
      <c r="A2" s="33" t="inlineStr">
        <is>
          <t>Thắng = 100 điểm, Thua = 50 điểm (theo luật). Chỉ cần chọn Đội thắng ở cột màu xanh — điểm và đội thua tự tính.</t>
        </is>
      </c>
    </row>
    <row r="4" ht="27.75" customHeight="1" s="31">
      <c r="A4" s="1" t="inlineStr">
        <is>
          <t>STT</t>
        </is>
      </c>
      <c r="B4" s="1" t="inlineStr">
        <is>
          <t>Cặp đấu</t>
        </is>
      </c>
      <c r="C4" s="1" t="inlineStr">
        <is>
          <t>Đội 1</t>
        </is>
      </c>
      <c r="D4" s="1" t="inlineStr">
        <is>
          <t>Đội 2</t>
        </is>
      </c>
      <c r="E4" s="1" t="inlineStr">
        <is>
          <t>Đội thắng</t>
        </is>
      </c>
      <c r="F4" s="1" t="inlineStr">
        <is>
          <t>Đội thua</t>
        </is>
      </c>
      <c r="G4" s="1" t="inlineStr">
        <is>
          <t>Điểm Đội 1</t>
        </is>
      </c>
      <c r="H4" s="1" t="inlineStr">
        <is>
          <t>Điểm Đội 2</t>
        </is>
      </c>
      <c r="I4" s="27" t="inlineStr">
        <is>
          <t>Đang thi đấu?</t>
        </is>
      </c>
      <c r="J4" s="27" t="inlineStr">
        <is>
          <t>Tên TV vòng sau 1</t>
        </is>
      </c>
      <c r="K4" s="27" t="inlineStr">
        <is>
          <t>Tên TV vòng sau 2</t>
        </is>
      </c>
      <c r="L4" s="27" t="inlineStr">
        <is>
          <t>Tên TV vòng sau 3</t>
        </is>
      </c>
      <c r="M4" s="27" t="inlineStr">
        <is>
          <t>Đang thi đấu (nhập tay)</t>
        </is>
      </c>
    </row>
    <row r="5" ht="15" customHeight="1" s="31">
      <c r="A5" s="2" t="n">
        <v>1</v>
      </c>
      <c r="B5" s="2" t="inlineStr">
        <is>
          <t>Cặp 1</t>
        </is>
      </c>
      <c r="C5" s="4" t="inlineStr">
        <is>
          <t>Đội 10</t>
        </is>
      </c>
      <c r="D5" s="4" t="inlineStr">
        <is>
          <t>Đội 12</t>
        </is>
      </c>
      <c r="E5" s="9" t="n"/>
      <c r="F5" s="2">
        <f>IF(E5="","",IF(E5=C5,D5,C5))</f>
        <v/>
      </c>
      <c r="G5" s="2">
        <f>IF(E5="","",IF(E5=C5,100,50))</f>
        <v/>
      </c>
      <c r="H5" s="2">
        <f>IF(E5="","",IF(E5=D5,100,50))</f>
        <v/>
      </c>
      <c r="I5" s="29">
        <f>IF($E5&lt;&gt;"","",IF($M5="Có","Có",""))</f>
        <v/>
      </c>
      <c r="J5" s="29" t="n"/>
      <c r="K5" s="29" t="n"/>
      <c r="L5" s="29" t="n"/>
      <c r="M5" s="29" t="n"/>
    </row>
    <row r="6" ht="15" customHeight="1" s="31">
      <c r="A6" s="2" t="n">
        <v>2</v>
      </c>
      <c r="B6" s="2" t="inlineStr">
        <is>
          <t>Cặp 2</t>
        </is>
      </c>
      <c r="C6" s="4" t="inlineStr">
        <is>
          <t>Đội 4</t>
        </is>
      </c>
      <c r="D6" s="4" t="inlineStr">
        <is>
          <t>Đội 1</t>
        </is>
      </c>
      <c r="E6" s="9" t="n"/>
      <c r="F6" s="2">
        <f>IF(E6="","",IF(E6=C6,D6,C6))</f>
        <v/>
      </c>
      <c r="G6" s="2">
        <f>IF(E6="","",IF(E6=C6,100,50))</f>
        <v/>
      </c>
      <c r="H6" s="2">
        <f>IF(E6="","",IF(E6=D6,100,50))</f>
        <v/>
      </c>
      <c r="I6" s="29">
        <f>IF($E6&lt;&gt;"","",IF($M6="Có","Có",""))</f>
        <v/>
      </c>
      <c r="J6" s="29" t="n"/>
      <c r="K6" s="29" t="n"/>
      <c r="L6" s="29" t="n"/>
      <c r="M6" s="29" t="n"/>
    </row>
    <row r="7" ht="15" customHeight="1" s="31">
      <c r="A7" s="2" t="n">
        <v>3</v>
      </c>
      <c r="B7" s="2" t="inlineStr">
        <is>
          <t>Cặp 3</t>
        </is>
      </c>
      <c r="C7" s="4" t="inlineStr">
        <is>
          <t>Đội 5</t>
        </is>
      </c>
      <c r="D7" s="4" t="inlineStr">
        <is>
          <t>Đội 2</t>
        </is>
      </c>
      <c r="E7" s="9" t="n"/>
      <c r="F7" s="2">
        <f>IF(E7="","",IF(E7=C7,D7,C7))</f>
        <v/>
      </c>
      <c r="G7" s="2">
        <f>IF(E7="","",IF(E7=C7,100,50))</f>
        <v/>
      </c>
      <c r="H7" s="2">
        <f>IF(E7="","",IF(E7=D7,100,50))</f>
        <v/>
      </c>
      <c r="I7" s="29">
        <f>IF($E7&lt;&gt;"","",IF($M7="Có","Có",""))</f>
        <v/>
      </c>
      <c r="J7" s="29" t="n"/>
      <c r="K7" s="29" t="n"/>
      <c r="L7" s="29" t="n"/>
      <c r="M7" s="29" t="n"/>
    </row>
    <row r="8" ht="15" customHeight="1" s="31">
      <c r="A8" s="2" t="n">
        <v>4</v>
      </c>
      <c r="B8" s="2" t="inlineStr">
        <is>
          <t>Cặp 4</t>
        </is>
      </c>
      <c r="C8" s="4" t="inlineStr">
        <is>
          <t>Đội 9</t>
        </is>
      </c>
      <c r="D8" s="4" t="inlineStr">
        <is>
          <t>Đội 6</t>
        </is>
      </c>
      <c r="E8" s="9" t="n"/>
      <c r="F8" s="2">
        <f>IF(E8="","",IF(E8=C8,D8,C8))</f>
        <v/>
      </c>
      <c r="G8" s="2">
        <f>IF(E8="","",IF(E8=C8,100,50))</f>
        <v/>
      </c>
      <c r="H8" s="2">
        <f>IF(E8="","",IF(E8=D8,100,50))</f>
        <v/>
      </c>
      <c r="I8" s="29">
        <f>IF($E8&lt;&gt;"","",IF($M8="Có","Có",""))</f>
        <v/>
      </c>
      <c r="J8" s="29" t="n"/>
      <c r="K8" s="29" t="n"/>
      <c r="L8" s="29" t="n"/>
      <c r="M8" s="29" t="n"/>
    </row>
    <row r="9" ht="15" customHeight="1" s="31">
      <c r="A9" s="2" t="n">
        <v>5</v>
      </c>
      <c r="B9" s="2" t="inlineStr">
        <is>
          <t>Cặp 5</t>
        </is>
      </c>
      <c r="C9" s="4" t="inlineStr">
        <is>
          <t>Đội 3</t>
        </is>
      </c>
      <c r="D9" s="4" t="inlineStr">
        <is>
          <t>Đội 11</t>
        </is>
      </c>
      <c r="E9" s="9" t="n"/>
      <c r="F9" s="2">
        <f>IF(E9="","",IF(E9=C9,D9,C9))</f>
        <v/>
      </c>
      <c r="G9" s="2">
        <f>IF(E9="","",IF(E9=C9,100,50))</f>
        <v/>
      </c>
      <c r="H9" s="2">
        <f>IF(E9="","",IF(E9=D9,100,50))</f>
        <v/>
      </c>
      <c r="I9" s="29">
        <f>IF($E9&lt;&gt;"","",IF($M9="Có","Có",""))</f>
        <v/>
      </c>
      <c r="J9" s="29" t="n"/>
      <c r="K9" s="29" t="n"/>
      <c r="L9" s="29" t="n"/>
      <c r="M9" s="29" t="n"/>
    </row>
    <row r="10" ht="15" customHeight="1" s="31">
      <c r="A10" s="2" t="n">
        <v>6</v>
      </c>
      <c r="B10" s="2" t="inlineStr">
        <is>
          <t>Cặp 6</t>
        </is>
      </c>
      <c r="C10" s="4" t="inlineStr">
        <is>
          <t>Đội 7</t>
        </is>
      </c>
      <c r="D10" s="4" t="inlineStr">
        <is>
          <t>Đội 8</t>
        </is>
      </c>
      <c r="E10" s="9" t="n"/>
      <c r="F10" s="2">
        <f>IF(E10="","",IF(E10=C10,D10,C10))</f>
        <v/>
      </c>
      <c r="G10" s="2">
        <f>IF(E10="","",IF(E10=C10,100,50))</f>
        <v/>
      </c>
      <c r="H10" s="2">
        <f>IF(E10="","",IF(E10=D10,100,50))</f>
        <v/>
      </c>
      <c r="I10" s="29">
        <f>IF($E10&lt;&gt;"","",IF($M10="Có","Có",""))</f>
        <v/>
      </c>
      <c r="J10" s="29" t="n"/>
      <c r="K10" s="29" t="n"/>
      <c r="L10" s="29" t="n"/>
      <c r="M10" s="29" t="n"/>
    </row>
    <row r="12" ht="15" customHeight="1" s="31">
      <c r="A12" s="37" t="inlineStr">
        <is>
          <t>6 đội thắng vào vòng "The Last of us" — quản lý và nhập kết quả vòng này tại sheet 'VĐTT - Last of us'.</t>
        </is>
      </c>
    </row>
  </sheetData>
  <mergeCells count="3">
    <mergeCell ref="A12:H12"/>
    <mergeCell ref="A2:G2"/>
    <mergeCell ref="A1:G1"/>
  </mergeCells>
  <dataValidations count="3">
    <dataValidation sqref="E5:E10" showDropDown="0" showInputMessage="0" showErrorMessage="0" allowBlank="1" type="list">
      <formula1>$C5:$D5</formula1>
      <formula2>0</formula2>
    </dataValidation>
    <dataValidation sqref="I5:I10" showDropDown="0" showInputMessage="0" showErrorMessage="0" allowBlank="1" type="list">
      <formula1>"Có"</formula1>
    </dataValidation>
    <dataValidation sqref="M5:M10" showDropDown="0" showInputMessage="0" showErrorMessage="0" allowBlank="1" type="list">
      <formula1>"Có"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22" customWidth="1" style="31" min="1" max="1"/>
    <col width="20" customWidth="1" style="31" min="2" max="4"/>
    <col width="15" customWidth="1" style="31" min="5" max="5"/>
    <col width="10" customWidth="1" style="31" min="6" max="6"/>
    <col width="12" customWidth="1" style="31" min="7" max="7"/>
  </cols>
  <sheetData>
    <row r="1" ht="19.5" customHeight="1" s="31">
      <c r="A1" s="30" t="inlineStr">
        <is>
          <t>GIẢI PHỤ — CHẤM ĐIỂM THEO TIÊU CHÍ</t>
        </is>
      </c>
    </row>
    <row r="2" ht="15" customHeight="1" s="31">
      <c r="A2" s="33" t="inlineStr">
        <is>
          <t>Chấm điểm từng tiêu chí cho mỗi đội (theo thang điểm đã quy định) — Tổng điểm &amp; Đội thắng mỗi giải tự tính. Giải phụ hoàn toàn tách biệt (chỉ vinh danh + tiền thưởng riêng), KHÔNG ảnh hưởng đến Tổng điểm 3 môn / thứ hạng Nhất-Nhì-Ba Edulympic.</t>
        </is>
      </c>
    </row>
    <row r="4" ht="27.75" customHeight="1" s="31">
      <c r="A4" s="1" t="inlineStr">
        <is>
          <t>Giải thưởng</t>
        </is>
      </c>
      <c r="B4" s="1" t="inlineStr">
        <is>
          <t>Đội thắng</t>
        </is>
      </c>
    </row>
    <row r="5" ht="15" customHeight="1" s="31">
      <c r="A5" s="17" t="inlineStr">
        <is>
          <t>Đội Cổ Vũ Xuất Sắc</t>
        </is>
      </c>
      <c r="B5" s="11">
        <f>IF(MAX($F$21:$F$32)=0,"",INDEX($A$21:$A$32,MATCH(1,$G$21:$G$32,0)))</f>
        <v/>
      </c>
    </row>
    <row r="6" ht="15" customHeight="1" s="31">
      <c r="A6" s="17" t="inlineStr">
        <is>
          <t>Đồng Đội Vàng</t>
        </is>
      </c>
      <c r="B6" s="11">
        <f>IF(MAX($E$36:$E$47)=0,"",INDEX($A$36:$A$47,MATCH(1,$F$36:$F$47,0)))</f>
        <v/>
      </c>
    </row>
    <row r="7" ht="15" customHeight="1" s="31">
      <c r="A7" s="17" t="inlineStr">
        <is>
          <t>Fair Play</t>
        </is>
      </c>
      <c r="B7" s="11">
        <f>IF(MAX($E$51:$E$62)=0,"",INDEX($A$51:$A$62,MATCH(1,$F$51:$F$62,0)))</f>
        <v/>
      </c>
    </row>
    <row r="8" ht="15" customHeight="1" s="31">
      <c r="A8" s="17" t="inlineStr">
        <is>
          <t>Thủ Lĩnh Truyền Lửa</t>
        </is>
      </c>
      <c r="B8" s="11">
        <f>IF(MAX($E$66:$E$77)=0,"",INDEX($A$66:$A$77,MATCH(1,$F$66:$F$77,0)))</f>
        <v/>
      </c>
    </row>
    <row r="9" ht="15" customHeight="1" s="31">
      <c r="A9" s="17" t="inlineStr">
        <is>
          <t>Khoảnh Khắc Edutalk</t>
        </is>
      </c>
      <c r="B9" s="11">
        <f>IF(MAX($E$81:$E$92)=0,"",INDEX($A$81:$A$92,MATCH(1,$F$81:$F$92,0)))</f>
        <v/>
      </c>
    </row>
    <row r="10" ht="15" customHeight="1" s="31">
      <c r="A10" s="17" t="inlineStr">
        <is>
          <t>Bản Lĩnh Kiên Cường</t>
        </is>
      </c>
      <c r="B10" s="11">
        <f>IF(MAX($E$96:$E$107)=0,"",INDEX($A$96:$A$107,MATCH(1,$F$96:$F$107,0)))</f>
        <v/>
      </c>
    </row>
    <row r="11" ht="15" customHeight="1" s="31">
      <c r="A11" s="17" t="inlineStr">
        <is>
          <t>Chiến Thuật Xuất Sắc</t>
        </is>
      </c>
      <c r="B11" s="11">
        <f>IF(MAX($E$111:$E$122)=0,"",INDEX($A$111:$A$122,MATCH(1,$F$111:$F$122,0)))</f>
        <v/>
      </c>
    </row>
    <row r="12" ht="15" customHeight="1" s="31">
      <c r="A12" s="17" t="inlineStr">
        <is>
          <t>Đội hình đoàn kết</t>
        </is>
      </c>
      <c r="B12" s="11">
        <f>IF(MAX($E$126:$E$137)=0,"",INDEX($A$126:$A$137,MATCH(1,$F$126:$F$137,0)))</f>
        <v/>
      </c>
    </row>
    <row r="13" ht="15" customHeight="1" s="31">
      <c r="A13" s="17" t="inlineStr">
        <is>
          <t>Lội Ngược Dòng Ấn Tượng</t>
        </is>
      </c>
      <c r="B13" s="11">
        <f>IF(MAX($E$141:$E$152)=0,"",INDEX($A$141:$A$152,MATCH(1,$F$141:$F$152,0)))</f>
        <v/>
      </c>
    </row>
    <row r="14" ht="15" customHeight="1" s="31">
      <c r="A14" s="17" t="inlineStr">
        <is>
          <t>Đội Truyền Cảm Hứng</t>
        </is>
      </c>
      <c r="B14" s="11">
        <f>IF(MAX($E$156:$E$167)=0,"",INDEX($A$156:$A$167,MATCH(1,$F$156:$F$167,0)))</f>
        <v/>
      </c>
    </row>
    <row r="15" ht="15" customHeight="1" s="31">
      <c r="A15" s="17" t="inlineStr">
        <is>
          <t>Lá Chắn Nữ Hoàng</t>
        </is>
      </c>
      <c r="B15" s="11">
        <f>IF(MAX($F$171:$F$182)=0,"",INDEX($A$171:$A$182,MATCH(1,$G$171:$G$182,0)))</f>
        <v/>
      </c>
    </row>
    <row r="17" ht="15" customHeight="1" s="31">
      <c r="A17" s="37" t="inlineStr">
        <is>
          <t>Chi tiết chấm điểm theo từng tiêu chí — kéo xuống. Chỉ nhập điểm ở cột màu xanh, không vượt quá điểm tối đa ghi trên tiêu đề cột.</t>
        </is>
      </c>
    </row>
    <row r="19" ht="15" customHeight="1" s="31">
      <c r="A19" s="39" t="inlineStr">
        <is>
          <t>Đội Cổ Vũ Xuất Sắc</t>
        </is>
      </c>
      <c r="H19" s="18" t="inlineStr">
        <is>
          <t>Đội thắng:</t>
        </is>
      </c>
    </row>
    <row r="20" ht="33.75" customHeight="1" s="31">
      <c r="A20" s="1" t="inlineStr">
        <is>
          <t>Đội</t>
        </is>
      </c>
      <c r="B20" s="1" t="inlineStr">
        <is>
          <t>Mức độ tham gia (đủ thành viên)
(tối đa 30)</t>
        </is>
      </c>
      <c r="C20" s="1" t="inlineStr">
        <is>
          <t>Sáng tạo (banner, slogan, đạo cụ, tiết mục...)
(tối đa 30)</t>
        </is>
      </c>
      <c r="D20" s="1" t="inlineStr">
        <is>
          <t>Sôi động, lan tỏa
(tối đa 20)</t>
        </is>
      </c>
      <c r="E20" s="1" t="inlineStr">
        <is>
          <t>Văn minh, đúng quy định
(tối đa 20)</t>
        </is>
      </c>
      <c r="F20" s="1" t="inlineStr">
        <is>
          <t>Tổng điểm</t>
        </is>
      </c>
      <c r="G20" s="1" t="inlineStr">
        <is>
          <t>Hạng</t>
        </is>
      </c>
      <c r="H20" s="12">
        <f>IF(MAX($F$21:$F$32)=0,"",INDEX($A$21:$A$32,MATCH(1,$G$21:$G$32,0)))</f>
        <v/>
      </c>
    </row>
    <row r="21" ht="15" customHeight="1" s="31">
      <c r="A21" s="7">
        <f>'Lịch thi đấu'!C7</f>
        <v/>
      </c>
      <c r="B21" s="4" t="n"/>
      <c r="C21" s="4" t="n"/>
      <c r="D21" s="4" t="n"/>
      <c r="E21" s="4" t="n"/>
      <c r="F21" s="12">
        <f>SUM(B21+C21+D21+E21)</f>
        <v/>
      </c>
      <c r="G21" s="12">
        <f>RANK(F21,$F$21:$F$32)</f>
        <v/>
      </c>
    </row>
    <row r="22" ht="15" customHeight="1" s="31">
      <c r="A22" s="7">
        <f>'Lịch thi đấu'!D7</f>
        <v/>
      </c>
      <c r="B22" s="4" t="n"/>
      <c r="C22" s="4" t="n"/>
      <c r="D22" s="4" t="n"/>
      <c r="E22" s="4" t="n"/>
      <c r="F22" s="12">
        <f>SUM(B22+C22+D22+E22)</f>
        <v/>
      </c>
      <c r="G22" s="12">
        <f>RANK(F22,$F$21:$F$32)</f>
        <v/>
      </c>
    </row>
    <row r="23" ht="15" customHeight="1" s="31">
      <c r="A23" s="7">
        <f>'Lịch thi đấu'!C8</f>
        <v/>
      </c>
      <c r="B23" s="4" t="n"/>
      <c r="C23" s="4" t="n"/>
      <c r="D23" s="4" t="n"/>
      <c r="E23" s="4" t="n"/>
      <c r="F23" s="12">
        <f>SUM(B23+C23+D23+E23)</f>
        <v/>
      </c>
      <c r="G23" s="12">
        <f>RANK(F23,$F$21:$F$32)</f>
        <v/>
      </c>
    </row>
    <row r="24" ht="15" customHeight="1" s="31">
      <c r="A24" s="7">
        <f>'Lịch thi đấu'!C6</f>
        <v/>
      </c>
      <c r="B24" s="4" t="n"/>
      <c r="C24" s="4" t="n"/>
      <c r="D24" s="4" t="n"/>
      <c r="E24" s="4" t="n"/>
      <c r="F24" s="12">
        <f>SUM(B24+C24+D24+E24)</f>
        <v/>
      </c>
      <c r="G24" s="12">
        <f>RANK(F24,$F$21:$F$32)</f>
        <v/>
      </c>
    </row>
    <row r="25" ht="15" customHeight="1" s="31">
      <c r="A25" s="7">
        <f>'Lịch thi đấu'!D6</f>
        <v/>
      </c>
      <c r="B25" s="4" t="n"/>
      <c r="C25" s="4" t="n"/>
      <c r="D25" s="4" t="n"/>
      <c r="E25" s="4" t="n"/>
      <c r="F25" s="12">
        <f>SUM(B25+C25+D25+E25)</f>
        <v/>
      </c>
      <c r="G25" s="12">
        <f>RANK(F25,$F$21:$F$32)</f>
        <v/>
      </c>
    </row>
    <row r="26" ht="15" customHeight="1" s="31">
      <c r="A26" s="7">
        <f>'Lịch thi đấu'!B9</f>
        <v/>
      </c>
      <c r="B26" s="4" t="n"/>
      <c r="C26" s="4" t="n"/>
      <c r="D26" s="4" t="n"/>
      <c r="E26" s="4" t="n"/>
      <c r="F26" s="12">
        <f>SUM(B26+C26+D26+E26)</f>
        <v/>
      </c>
      <c r="G26" s="12">
        <f>RANK(F26,$F$21:$F$32)</f>
        <v/>
      </c>
    </row>
    <row r="27" ht="15" customHeight="1" s="31">
      <c r="A27" s="7">
        <f>'Lịch thi đấu'!C9</f>
        <v/>
      </c>
      <c r="B27" s="4" t="n"/>
      <c r="C27" s="4" t="n"/>
      <c r="D27" s="4" t="n"/>
      <c r="E27" s="4" t="n"/>
      <c r="F27" s="12">
        <f>SUM(B27+C27+D27+E27)</f>
        <v/>
      </c>
      <c r="G27" s="12">
        <f>RANK(F27,$F$21:$F$32)</f>
        <v/>
      </c>
    </row>
    <row r="28" ht="15" customHeight="1" s="31">
      <c r="A28" s="7">
        <f>'Lịch thi đấu'!D8</f>
        <v/>
      </c>
      <c r="B28" s="4" t="n"/>
      <c r="C28" s="4" t="n"/>
      <c r="D28" s="4" t="n"/>
      <c r="E28" s="4" t="n"/>
      <c r="F28" s="12">
        <f>SUM(B28+C28+D28+E28)</f>
        <v/>
      </c>
      <c r="G28" s="12">
        <f>RANK(F28,$F$21:$F$32)</f>
        <v/>
      </c>
    </row>
    <row r="29" ht="15" customHeight="1" s="31">
      <c r="A29" s="7">
        <f>'Lịch thi đấu'!B8</f>
        <v/>
      </c>
      <c r="B29" s="4" t="n"/>
      <c r="C29" s="4" t="n"/>
      <c r="D29" s="4" t="n"/>
      <c r="E29" s="4" t="n"/>
      <c r="F29" s="12">
        <f>SUM(B29+C29+D29+E29)</f>
        <v/>
      </c>
      <c r="G29" s="12">
        <f>RANK(F29,$F$21:$F$32)</f>
        <v/>
      </c>
    </row>
    <row r="30" ht="15" customHeight="1" s="31">
      <c r="A30" s="7">
        <f>'Lịch thi đấu'!B6</f>
        <v/>
      </c>
      <c r="B30" s="4" t="n"/>
      <c r="C30" s="4" t="n"/>
      <c r="D30" s="4" t="n"/>
      <c r="E30" s="4" t="n"/>
      <c r="F30" s="12">
        <f>SUM(B30+C30+D30+E30)</f>
        <v/>
      </c>
      <c r="G30" s="12">
        <f>RANK(F30,$F$21:$F$32)</f>
        <v/>
      </c>
    </row>
    <row r="31" ht="15" customHeight="1" s="31">
      <c r="A31" s="7">
        <f>'Lịch thi đấu'!D9</f>
        <v/>
      </c>
      <c r="B31" s="4" t="n"/>
      <c r="C31" s="4" t="n"/>
      <c r="D31" s="4" t="n"/>
      <c r="E31" s="4" t="n"/>
      <c r="F31" s="12">
        <f>SUM(B31+C31+D31+E31)</f>
        <v/>
      </c>
      <c r="G31" s="12">
        <f>RANK(F31,$F$21:$F$32)</f>
        <v/>
      </c>
    </row>
    <row r="32" ht="15" customHeight="1" s="31">
      <c r="A32" s="7">
        <f>'Lịch thi đấu'!B7</f>
        <v/>
      </c>
      <c r="B32" s="4" t="n"/>
      <c r="C32" s="4" t="n"/>
      <c r="D32" s="4" t="n"/>
      <c r="E32" s="4" t="n"/>
      <c r="F32" s="12">
        <f>SUM(B32+C32+D32+E32)</f>
        <v/>
      </c>
      <c r="G32" s="12">
        <f>RANK(F32,$F$21:$F$32)</f>
        <v/>
      </c>
    </row>
    <row r="34" ht="15" customHeight="1" s="31">
      <c r="A34" s="39" t="inlineStr">
        <is>
          <t>Đồng Đội Vàng</t>
        </is>
      </c>
      <c r="G34" s="18" t="inlineStr">
        <is>
          <t>Đội thắng:</t>
        </is>
      </c>
    </row>
    <row r="35" ht="33.75" customHeight="1" s="31">
      <c r="A35" s="1" t="inlineStr">
        <is>
          <t>Đội</t>
        </is>
      </c>
      <c r="B35" s="1" t="inlineStr">
        <is>
          <t>Phối hợp trong thi đấu
(tối đa 40)</t>
        </is>
      </c>
      <c r="C35" s="1" t="inlineStr">
        <is>
          <t>Hỗ trợ đồng đội
(tối đa 30)</t>
        </is>
      </c>
      <c r="D35" s="1" t="inlineStr">
        <is>
          <t>Kỷ luật, đúng chiến thuật
(tối đa 30)</t>
        </is>
      </c>
      <c r="E35" s="1" t="inlineStr">
        <is>
          <t>Tổng điểm</t>
        </is>
      </c>
      <c r="F35" s="1" t="inlineStr">
        <is>
          <t>Hạng</t>
        </is>
      </c>
      <c r="G35" s="12">
        <f>IF(MAX($E$36:$E$47)=0,"",INDEX($A$36:$A$47,MATCH(1,$F$36:$F$47,0)))</f>
        <v/>
      </c>
    </row>
    <row r="36" ht="15" customHeight="1" s="31">
      <c r="A36" s="7">
        <f>'Lịch thi đấu'!C7</f>
        <v/>
      </c>
      <c r="B36" s="4" t="n"/>
      <c r="C36" s="4" t="n"/>
      <c r="D36" s="4" t="n"/>
      <c r="E36" s="12">
        <f>SUM(B36+C36+D36)</f>
        <v/>
      </c>
      <c r="F36" s="12">
        <f>RANK(E36,$E$36:$E$47)</f>
        <v/>
      </c>
    </row>
    <row r="37" ht="15" customHeight="1" s="31">
      <c r="A37" s="7">
        <f>'Lịch thi đấu'!D7</f>
        <v/>
      </c>
      <c r="B37" s="4" t="n"/>
      <c r="C37" s="4" t="n"/>
      <c r="D37" s="4" t="n"/>
      <c r="E37" s="12">
        <f>SUM(B37+C37+D37)</f>
        <v/>
      </c>
      <c r="F37" s="12">
        <f>RANK(E37,$E$36:$E$47)</f>
        <v/>
      </c>
    </row>
    <row r="38" ht="15" customHeight="1" s="31">
      <c r="A38" s="7">
        <f>'Lịch thi đấu'!C8</f>
        <v/>
      </c>
      <c r="B38" s="4" t="n"/>
      <c r="C38" s="4" t="n"/>
      <c r="D38" s="4" t="n"/>
      <c r="E38" s="12">
        <f>SUM(B38+C38+D38)</f>
        <v/>
      </c>
      <c r="F38" s="12">
        <f>RANK(E38,$E$36:$E$47)</f>
        <v/>
      </c>
    </row>
    <row r="39" ht="15" customHeight="1" s="31">
      <c r="A39" s="7">
        <f>'Lịch thi đấu'!C6</f>
        <v/>
      </c>
      <c r="B39" s="4" t="n"/>
      <c r="C39" s="4" t="n"/>
      <c r="D39" s="4" t="n"/>
      <c r="E39" s="12">
        <f>SUM(B39+C39+D39)</f>
        <v/>
      </c>
      <c r="F39" s="12">
        <f>RANK(E39,$E$36:$E$47)</f>
        <v/>
      </c>
    </row>
    <row r="40" ht="15" customHeight="1" s="31">
      <c r="A40" s="7">
        <f>'Lịch thi đấu'!D6</f>
        <v/>
      </c>
      <c r="B40" s="4" t="n"/>
      <c r="C40" s="4" t="n"/>
      <c r="D40" s="4" t="n"/>
      <c r="E40" s="12">
        <f>SUM(B40+C40+D40)</f>
        <v/>
      </c>
      <c r="F40" s="12">
        <f>RANK(E40,$E$36:$E$47)</f>
        <v/>
      </c>
    </row>
    <row r="41" ht="15" customHeight="1" s="31">
      <c r="A41" s="7">
        <f>'Lịch thi đấu'!B9</f>
        <v/>
      </c>
      <c r="B41" s="4" t="n"/>
      <c r="C41" s="4" t="n"/>
      <c r="D41" s="4" t="n"/>
      <c r="E41" s="12">
        <f>SUM(B41+C41+D41)</f>
        <v/>
      </c>
      <c r="F41" s="12">
        <f>RANK(E41,$E$36:$E$47)</f>
        <v/>
      </c>
    </row>
    <row r="42" ht="15" customHeight="1" s="31">
      <c r="A42" s="7">
        <f>'Lịch thi đấu'!C9</f>
        <v/>
      </c>
      <c r="B42" s="4" t="n"/>
      <c r="C42" s="4" t="n"/>
      <c r="D42" s="4" t="n"/>
      <c r="E42" s="12">
        <f>SUM(B42+C42+D42)</f>
        <v/>
      </c>
      <c r="F42" s="12">
        <f>RANK(E42,$E$36:$E$47)</f>
        <v/>
      </c>
    </row>
    <row r="43" ht="15" customHeight="1" s="31">
      <c r="A43" s="7">
        <f>'Lịch thi đấu'!D8</f>
        <v/>
      </c>
      <c r="B43" s="4" t="n"/>
      <c r="C43" s="4" t="n"/>
      <c r="D43" s="4" t="n"/>
      <c r="E43" s="12">
        <f>SUM(B43+C43+D43)</f>
        <v/>
      </c>
      <c r="F43" s="12">
        <f>RANK(E43,$E$36:$E$47)</f>
        <v/>
      </c>
    </row>
    <row r="44" ht="15" customHeight="1" s="31">
      <c r="A44" s="7">
        <f>'Lịch thi đấu'!B8</f>
        <v/>
      </c>
      <c r="B44" s="4" t="n"/>
      <c r="C44" s="4" t="n"/>
      <c r="D44" s="4" t="n"/>
      <c r="E44" s="12">
        <f>SUM(B44+C44+D44)</f>
        <v/>
      </c>
      <c r="F44" s="12">
        <f>RANK(E44,$E$36:$E$47)</f>
        <v/>
      </c>
    </row>
    <row r="45" ht="15" customHeight="1" s="31">
      <c r="A45" s="7">
        <f>'Lịch thi đấu'!B6</f>
        <v/>
      </c>
      <c r="B45" s="4" t="n"/>
      <c r="C45" s="4" t="n"/>
      <c r="D45" s="4" t="n"/>
      <c r="E45" s="12">
        <f>SUM(B45+C45+D45)</f>
        <v/>
      </c>
      <c r="F45" s="12">
        <f>RANK(E45,$E$36:$E$47)</f>
        <v/>
      </c>
    </row>
    <row r="46" ht="15" customHeight="1" s="31">
      <c r="A46" s="7">
        <f>'Lịch thi đấu'!D9</f>
        <v/>
      </c>
      <c r="B46" s="4" t="n"/>
      <c r="C46" s="4" t="n"/>
      <c r="D46" s="4" t="n"/>
      <c r="E46" s="12">
        <f>SUM(B46+C46+D46)</f>
        <v/>
      </c>
      <c r="F46" s="12">
        <f>RANK(E46,$E$36:$E$47)</f>
        <v/>
      </c>
    </row>
    <row r="47" ht="15" customHeight="1" s="31">
      <c r="A47" s="7">
        <f>'Lịch thi đấu'!B7</f>
        <v/>
      </c>
      <c r="B47" s="4" t="n"/>
      <c r="C47" s="4" t="n"/>
      <c r="D47" s="4" t="n"/>
      <c r="E47" s="12">
        <f>SUM(B47+C47+D47)</f>
        <v/>
      </c>
      <c r="F47" s="12">
        <f>RANK(E47,$E$36:$E$47)</f>
        <v/>
      </c>
    </row>
    <row r="49" ht="15" customHeight="1" s="31">
      <c r="A49" s="39" t="inlineStr">
        <is>
          <t>Fair Play</t>
        </is>
      </c>
      <c r="G49" s="18" t="inlineStr">
        <is>
          <t>Đội thắng:</t>
        </is>
      </c>
    </row>
    <row r="50" ht="33.75" customHeight="1" s="31">
      <c r="A50" s="1" t="inlineStr">
        <is>
          <t>Đội</t>
        </is>
      </c>
      <c r="B50" s="1" t="inlineStr">
        <is>
          <t>Chấp hành luật chơi
(tối đa 40)</t>
        </is>
      </c>
      <c r="C50" s="1" t="inlineStr">
        <is>
          <t>Tôn trọng trọng tài, đối thủ
(tối đa 30)</t>
        </is>
      </c>
      <c r="D50" s="1" t="inlineStr">
        <is>
          <t>Ứng xử văn minh
(tối đa 30)</t>
        </is>
      </c>
      <c r="E50" s="1" t="inlineStr">
        <is>
          <t>Tổng điểm</t>
        </is>
      </c>
      <c r="F50" s="1" t="inlineStr">
        <is>
          <t>Hạng</t>
        </is>
      </c>
      <c r="G50" s="12">
        <f>IF(MAX($E$51:$E$62)=0,"",INDEX($A$51:$A$62,MATCH(1,$F$51:$F$62,0)))</f>
        <v/>
      </c>
    </row>
    <row r="51" ht="15" customHeight="1" s="31">
      <c r="A51" s="7">
        <f>'Lịch thi đấu'!C7</f>
        <v/>
      </c>
      <c r="B51" s="4" t="n"/>
      <c r="C51" s="4" t="n"/>
      <c r="D51" s="4" t="n"/>
      <c r="E51" s="12">
        <f>SUM(B51+C51+D51)</f>
        <v/>
      </c>
      <c r="F51" s="12">
        <f>RANK(E51,$E$51:$E$62)</f>
        <v/>
      </c>
    </row>
    <row r="52" ht="15" customHeight="1" s="31">
      <c r="A52" s="7">
        <f>'Lịch thi đấu'!D7</f>
        <v/>
      </c>
      <c r="B52" s="4" t="n"/>
      <c r="C52" s="4" t="n"/>
      <c r="D52" s="4" t="n"/>
      <c r="E52" s="12">
        <f>SUM(B52+C52+D52)</f>
        <v/>
      </c>
      <c r="F52" s="12">
        <f>RANK(E52,$E$51:$E$62)</f>
        <v/>
      </c>
    </row>
    <row r="53" ht="15" customHeight="1" s="31">
      <c r="A53" s="7">
        <f>'Lịch thi đấu'!C8</f>
        <v/>
      </c>
      <c r="B53" s="4" t="n"/>
      <c r="C53" s="4" t="n"/>
      <c r="D53" s="4" t="n"/>
      <c r="E53" s="12">
        <f>SUM(B53+C53+D53)</f>
        <v/>
      </c>
      <c r="F53" s="12">
        <f>RANK(E53,$E$51:$E$62)</f>
        <v/>
      </c>
    </row>
    <row r="54" ht="15" customHeight="1" s="31">
      <c r="A54" s="7">
        <f>'Lịch thi đấu'!C6</f>
        <v/>
      </c>
      <c r="B54" s="4" t="n"/>
      <c r="C54" s="4" t="n"/>
      <c r="D54" s="4" t="n"/>
      <c r="E54" s="12">
        <f>SUM(B54+C54+D54)</f>
        <v/>
      </c>
      <c r="F54" s="12">
        <f>RANK(E54,$E$51:$E$62)</f>
        <v/>
      </c>
    </row>
    <row r="55" ht="15" customHeight="1" s="31">
      <c r="A55" s="7">
        <f>'Lịch thi đấu'!D6</f>
        <v/>
      </c>
      <c r="B55" s="4" t="n"/>
      <c r="C55" s="4" t="n"/>
      <c r="D55" s="4" t="n"/>
      <c r="E55" s="12">
        <f>SUM(B55+C55+D55)</f>
        <v/>
      </c>
      <c r="F55" s="12">
        <f>RANK(E55,$E$51:$E$62)</f>
        <v/>
      </c>
    </row>
    <row r="56" ht="15" customHeight="1" s="31">
      <c r="A56" s="7">
        <f>'Lịch thi đấu'!B9</f>
        <v/>
      </c>
      <c r="B56" s="4" t="n"/>
      <c r="C56" s="4" t="n"/>
      <c r="D56" s="4" t="n"/>
      <c r="E56" s="12">
        <f>SUM(B56+C56+D56)</f>
        <v/>
      </c>
      <c r="F56" s="12">
        <f>RANK(E56,$E$51:$E$62)</f>
        <v/>
      </c>
    </row>
    <row r="57" ht="15" customHeight="1" s="31">
      <c r="A57" s="7">
        <f>'Lịch thi đấu'!C9</f>
        <v/>
      </c>
      <c r="B57" s="4" t="n"/>
      <c r="C57" s="4" t="n"/>
      <c r="D57" s="4" t="n"/>
      <c r="E57" s="12">
        <f>SUM(B57+C57+D57)</f>
        <v/>
      </c>
      <c r="F57" s="12">
        <f>RANK(E57,$E$51:$E$62)</f>
        <v/>
      </c>
    </row>
    <row r="58" ht="15" customHeight="1" s="31">
      <c r="A58" s="7">
        <f>'Lịch thi đấu'!D8</f>
        <v/>
      </c>
      <c r="B58" s="4" t="n"/>
      <c r="C58" s="4" t="n"/>
      <c r="D58" s="4" t="n"/>
      <c r="E58" s="12">
        <f>SUM(B58+C58+D58)</f>
        <v/>
      </c>
      <c r="F58" s="12">
        <f>RANK(E58,$E$51:$E$62)</f>
        <v/>
      </c>
    </row>
    <row r="59" ht="15" customHeight="1" s="31">
      <c r="A59" s="7">
        <f>'Lịch thi đấu'!B8</f>
        <v/>
      </c>
      <c r="B59" s="4" t="n"/>
      <c r="C59" s="4" t="n"/>
      <c r="D59" s="4" t="n"/>
      <c r="E59" s="12">
        <f>SUM(B59+C59+D59)</f>
        <v/>
      </c>
      <c r="F59" s="12">
        <f>RANK(E59,$E$51:$E$62)</f>
        <v/>
      </c>
    </row>
    <row r="60" ht="15" customHeight="1" s="31">
      <c r="A60" s="7">
        <f>'Lịch thi đấu'!B6</f>
        <v/>
      </c>
      <c r="B60" s="4" t="n"/>
      <c r="C60" s="4" t="n"/>
      <c r="D60" s="4" t="n"/>
      <c r="E60" s="12">
        <f>SUM(B60+C60+D60)</f>
        <v/>
      </c>
      <c r="F60" s="12">
        <f>RANK(E60,$E$51:$E$62)</f>
        <v/>
      </c>
    </row>
    <row r="61" ht="15" customHeight="1" s="31">
      <c r="A61" s="7">
        <f>'Lịch thi đấu'!D9</f>
        <v/>
      </c>
      <c r="B61" s="4" t="n"/>
      <c r="C61" s="4" t="n"/>
      <c r="D61" s="4" t="n"/>
      <c r="E61" s="12">
        <f>SUM(B61+C61+D61)</f>
        <v/>
      </c>
      <c r="F61" s="12">
        <f>RANK(E61,$E$51:$E$62)</f>
        <v/>
      </c>
    </row>
    <row r="62" ht="15" customHeight="1" s="31">
      <c r="A62" s="7">
        <f>'Lịch thi đấu'!B7</f>
        <v/>
      </c>
      <c r="B62" s="4" t="n"/>
      <c r="C62" s="4" t="n"/>
      <c r="D62" s="4" t="n"/>
      <c r="E62" s="12">
        <f>SUM(B62+C62+D62)</f>
        <v/>
      </c>
      <c r="F62" s="12">
        <f>RANK(E62,$E$51:$E$62)</f>
        <v/>
      </c>
    </row>
    <row r="64" ht="15" customHeight="1" s="31">
      <c r="A64" s="39" t="inlineStr">
        <is>
          <t>Thủ Lĩnh Truyền Lửa</t>
        </is>
      </c>
      <c r="G64" s="18" t="inlineStr">
        <is>
          <t>Đội thắng:</t>
        </is>
      </c>
    </row>
    <row r="65" ht="33.75" customHeight="1" s="31">
      <c r="A65" s="1" t="inlineStr">
        <is>
          <t>Đội</t>
        </is>
      </c>
      <c r="B65" s="1" t="inlineStr">
        <is>
          <t>Khả năng dẫn dắt đội
(tối đa 40)</t>
        </is>
      </c>
      <c r="C65" s="1" t="inlineStr">
        <is>
          <t>Khích lệ tinh thần đồng đội
(tối đa 30)</t>
        </is>
      </c>
      <c r="D65" s="1" t="inlineStr">
        <is>
          <t>Chủ động xử lý tình huống
(tối đa 30)</t>
        </is>
      </c>
      <c r="E65" s="1" t="inlineStr">
        <is>
          <t>Tổng điểm</t>
        </is>
      </c>
      <c r="F65" s="1" t="inlineStr">
        <is>
          <t>Hạng</t>
        </is>
      </c>
      <c r="G65" s="12">
        <f>IF(MAX($E$66:$E$77)=0,"",INDEX($A$66:$A$77,MATCH(1,$F$66:$F$77,0)))</f>
        <v/>
      </c>
    </row>
    <row r="66" ht="15" customHeight="1" s="31">
      <c r="A66" s="7">
        <f>'Lịch thi đấu'!C7</f>
        <v/>
      </c>
      <c r="B66" s="4" t="n"/>
      <c r="C66" s="4" t="n"/>
      <c r="D66" s="4" t="n"/>
      <c r="E66" s="12">
        <f>SUM(B66+C66+D66)</f>
        <v/>
      </c>
      <c r="F66" s="12">
        <f>RANK(E66,$E$66:$E$77)</f>
        <v/>
      </c>
    </row>
    <row r="67" ht="15" customHeight="1" s="31">
      <c r="A67" s="7">
        <f>'Lịch thi đấu'!D7</f>
        <v/>
      </c>
      <c r="B67" s="4" t="n"/>
      <c r="C67" s="4" t="n"/>
      <c r="D67" s="4" t="n"/>
      <c r="E67" s="12">
        <f>SUM(B67+C67+D67)</f>
        <v/>
      </c>
      <c r="F67" s="12">
        <f>RANK(E67,$E$66:$E$77)</f>
        <v/>
      </c>
    </row>
    <row r="68" ht="15" customHeight="1" s="31">
      <c r="A68" s="7">
        <f>'Lịch thi đấu'!C8</f>
        <v/>
      </c>
      <c r="B68" s="4" t="n"/>
      <c r="C68" s="4" t="n"/>
      <c r="D68" s="4" t="n"/>
      <c r="E68" s="12">
        <f>SUM(B68+C68+D68)</f>
        <v/>
      </c>
      <c r="F68" s="12">
        <f>RANK(E68,$E$66:$E$77)</f>
        <v/>
      </c>
    </row>
    <row r="69" ht="15" customHeight="1" s="31">
      <c r="A69" s="7">
        <f>'Lịch thi đấu'!C6</f>
        <v/>
      </c>
      <c r="B69" s="4" t="n"/>
      <c r="C69" s="4" t="n"/>
      <c r="D69" s="4" t="n"/>
      <c r="E69" s="12">
        <f>SUM(B69+C69+D69)</f>
        <v/>
      </c>
      <c r="F69" s="12">
        <f>RANK(E69,$E$66:$E$77)</f>
        <v/>
      </c>
    </row>
    <row r="70" ht="15" customHeight="1" s="31">
      <c r="A70" s="7">
        <f>'Lịch thi đấu'!D6</f>
        <v/>
      </c>
      <c r="B70" s="4" t="n"/>
      <c r="C70" s="4" t="n"/>
      <c r="D70" s="4" t="n"/>
      <c r="E70" s="12">
        <f>SUM(B70+C70+D70)</f>
        <v/>
      </c>
      <c r="F70" s="12">
        <f>RANK(E70,$E$66:$E$77)</f>
        <v/>
      </c>
    </row>
    <row r="71" ht="15" customHeight="1" s="31">
      <c r="A71" s="7">
        <f>'Lịch thi đấu'!B9</f>
        <v/>
      </c>
      <c r="B71" s="4" t="n"/>
      <c r="C71" s="4" t="n"/>
      <c r="D71" s="4" t="n"/>
      <c r="E71" s="12">
        <f>SUM(B71+C71+D71)</f>
        <v/>
      </c>
      <c r="F71" s="12">
        <f>RANK(E71,$E$66:$E$77)</f>
        <v/>
      </c>
    </row>
    <row r="72" ht="15" customHeight="1" s="31">
      <c r="A72" s="7">
        <f>'Lịch thi đấu'!C9</f>
        <v/>
      </c>
      <c r="B72" s="4" t="n"/>
      <c r="C72" s="4" t="n"/>
      <c r="D72" s="4" t="n"/>
      <c r="E72" s="12">
        <f>SUM(B72+C72+D72)</f>
        <v/>
      </c>
      <c r="F72" s="12">
        <f>RANK(E72,$E$66:$E$77)</f>
        <v/>
      </c>
    </row>
    <row r="73" ht="15" customHeight="1" s="31">
      <c r="A73" s="7">
        <f>'Lịch thi đấu'!D8</f>
        <v/>
      </c>
      <c r="B73" s="4" t="n"/>
      <c r="C73" s="4" t="n"/>
      <c r="D73" s="4" t="n"/>
      <c r="E73" s="12">
        <f>SUM(B73+C73+D73)</f>
        <v/>
      </c>
      <c r="F73" s="12">
        <f>RANK(E73,$E$66:$E$77)</f>
        <v/>
      </c>
    </row>
    <row r="74" ht="15" customHeight="1" s="31">
      <c r="A74" s="7">
        <f>'Lịch thi đấu'!B8</f>
        <v/>
      </c>
      <c r="B74" s="4" t="n"/>
      <c r="C74" s="4" t="n"/>
      <c r="D74" s="4" t="n"/>
      <c r="E74" s="12">
        <f>SUM(B74+C74+D74)</f>
        <v/>
      </c>
      <c r="F74" s="12">
        <f>RANK(E74,$E$66:$E$77)</f>
        <v/>
      </c>
    </row>
    <row r="75" ht="15" customHeight="1" s="31">
      <c r="A75" s="7">
        <f>'Lịch thi đấu'!B6</f>
        <v/>
      </c>
      <c r="B75" s="4" t="n"/>
      <c r="C75" s="4" t="n"/>
      <c r="D75" s="4" t="n"/>
      <c r="E75" s="12">
        <f>SUM(B75+C75+D75)</f>
        <v/>
      </c>
      <c r="F75" s="12">
        <f>RANK(E75,$E$66:$E$77)</f>
        <v/>
      </c>
    </row>
    <row r="76" ht="15" customHeight="1" s="31">
      <c r="A76" s="7">
        <f>'Lịch thi đấu'!D9</f>
        <v/>
      </c>
      <c r="B76" s="4" t="n"/>
      <c r="C76" s="4" t="n"/>
      <c r="D76" s="4" t="n"/>
      <c r="E76" s="12">
        <f>SUM(B76+C76+D76)</f>
        <v/>
      </c>
      <c r="F76" s="12">
        <f>RANK(E76,$E$66:$E$77)</f>
        <v/>
      </c>
    </row>
    <row r="77" ht="15" customHeight="1" s="31">
      <c r="A77" s="7">
        <f>'Lịch thi đấu'!B7</f>
        <v/>
      </c>
      <c r="B77" s="4" t="n"/>
      <c r="C77" s="4" t="n"/>
      <c r="D77" s="4" t="n"/>
      <c r="E77" s="12">
        <f>SUM(B77+C77+D77)</f>
        <v/>
      </c>
      <c r="F77" s="12">
        <f>RANK(E77,$E$66:$E$77)</f>
        <v/>
      </c>
    </row>
    <row r="79" ht="15" customHeight="1" s="31">
      <c r="A79" s="39" t="inlineStr">
        <is>
          <t>Khoảnh Khắc Edutalk</t>
        </is>
      </c>
      <c r="G79" s="18" t="inlineStr">
        <is>
          <t>Đội thắng:</t>
        </is>
      </c>
    </row>
    <row r="80" ht="33.75" customHeight="1" s="31">
      <c r="A80" s="1" t="inlineStr">
        <is>
          <t>Đội</t>
        </is>
      </c>
      <c r="B80" s="1" t="inlineStr">
        <is>
          <t>Ý nghĩa, cảm xúc
(tối đa 40)</t>
        </is>
      </c>
      <c r="C80" s="1" t="inlineStr">
        <is>
          <t>Tính lan tỏa
(tối đa 30)</t>
        </is>
      </c>
      <c r="D80" s="1" t="inlineStr">
        <is>
          <t>Hình ảnh/video đẹp
(tối đa 30)</t>
        </is>
      </c>
      <c r="E80" s="1" t="inlineStr">
        <is>
          <t>Tổng điểm</t>
        </is>
      </c>
      <c r="F80" s="1" t="inlineStr">
        <is>
          <t>Hạng</t>
        </is>
      </c>
      <c r="G80" s="12">
        <f>IF(MAX($E$81:$E$92)=0,"",INDEX($A$81:$A$92,MATCH(1,$F$81:$F$92,0)))</f>
        <v/>
      </c>
    </row>
    <row r="81" ht="15" customHeight="1" s="31">
      <c r="A81" s="7">
        <f>'Lịch thi đấu'!C7</f>
        <v/>
      </c>
      <c r="B81" s="4" t="n"/>
      <c r="C81" s="4" t="n"/>
      <c r="D81" s="4" t="n"/>
      <c r="E81" s="12">
        <f>SUM(B81+C81+D81)</f>
        <v/>
      </c>
      <c r="F81" s="12">
        <f>RANK(E81,$E$81:$E$92)</f>
        <v/>
      </c>
    </row>
    <row r="82" ht="15" customHeight="1" s="31">
      <c r="A82" s="7">
        <f>'Lịch thi đấu'!D7</f>
        <v/>
      </c>
      <c r="B82" s="4" t="n"/>
      <c r="C82" s="4" t="n"/>
      <c r="D82" s="4" t="n"/>
      <c r="E82" s="12">
        <f>SUM(B82+C82+D82)</f>
        <v/>
      </c>
      <c r="F82" s="12">
        <f>RANK(E82,$E$81:$E$92)</f>
        <v/>
      </c>
    </row>
    <row r="83" ht="15" customHeight="1" s="31">
      <c r="A83" s="7">
        <f>'Lịch thi đấu'!C8</f>
        <v/>
      </c>
      <c r="B83" s="4" t="n"/>
      <c r="C83" s="4" t="n"/>
      <c r="D83" s="4" t="n"/>
      <c r="E83" s="12">
        <f>SUM(B83+C83+D83)</f>
        <v/>
      </c>
      <c r="F83" s="12">
        <f>RANK(E83,$E$81:$E$92)</f>
        <v/>
      </c>
    </row>
    <row r="84" ht="15" customHeight="1" s="31">
      <c r="A84" s="7">
        <f>'Lịch thi đấu'!C6</f>
        <v/>
      </c>
      <c r="B84" s="4" t="n"/>
      <c r="C84" s="4" t="n"/>
      <c r="D84" s="4" t="n"/>
      <c r="E84" s="12">
        <f>SUM(B84+C84+D84)</f>
        <v/>
      </c>
      <c r="F84" s="12">
        <f>RANK(E84,$E$81:$E$92)</f>
        <v/>
      </c>
    </row>
    <row r="85" ht="15" customHeight="1" s="31">
      <c r="A85" s="7">
        <f>'Lịch thi đấu'!D6</f>
        <v/>
      </c>
      <c r="B85" s="4" t="n"/>
      <c r="C85" s="4" t="n"/>
      <c r="D85" s="4" t="n"/>
      <c r="E85" s="12">
        <f>SUM(B85+C85+D85)</f>
        <v/>
      </c>
      <c r="F85" s="12">
        <f>RANK(E85,$E$81:$E$92)</f>
        <v/>
      </c>
    </row>
    <row r="86" ht="15" customHeight="1" s="31">
      <c r="A86" s="7">
        <f>'Lịch thi đấu'!B9</f>
        <v/>
      </c>
      <c r="B86" s="4" t="n"/>
      <c r="C86" s="4" t="n"/>
      <c r="D86" s="4" t="n"/>
      <c r="E86" s="12">
        <f>SUM(B86+C86+D86)</f>
        <v/>
      </c>
      <c r="F86" s="12">
        <f>RANK(E86,$E$81:$E$92)</f>
        <v/>
      </c>
    </row>
    <row r="87" ht="15" customHeight="1" s="31">
      <c r="A87" s="7">
        <f>'Lịch thi đấu'!C9</f>
        <v/>
      </c>
      <c r="B87" s="4" t="n"/>
      <c r="C87" s="4" t="n"/>
      <c r="D87" s="4" t="n"/>
      <c r="E87" s="12">
        <f>SUM(B87+C87+D87)</f>
        <v/>
      </c>
      <c r="F87" s="12">
        <f>RANK(E87,$E$81:$E$92)</f>
        <v/>
      </c>
    </row>
    <row r="88" ht="15" customHeight="1" s="31">
      <c r="A88" s="7">
        <f>'Lịch thi đấu'!D8</f>
        <v/>
      </c>
      <c r="B88" s="4" t="n"/>
      <c r="C88" s="4" t="n"/>
      <c r="D88" s="4" t="n"/>
      <c r="E88" s="12">
        <f>SUM(B88+C88+D88)</f>
        <v/>
      </c>
      <c r="F88" s="12">
        <f>RANK(E88,$E$81:$E$92)</f>
        <v/>
      </c>
    </row>
    <row r="89" ht="15" customHeight="1" s="31">
      <c r="A89" s="7">
        <f>'Lịch thi đấu'!B8</f>
        <v/>
      </c>
      <c r="B89" s="4" t="n"/>
      <c r="C89" s="4" t="n"/>
      <c r="D89" s="4" t="n"/>
      <c r="E89" s="12">
        <f>SUM(B89+C89+D89)</f>
        <v/>
      </c>
      <c r="F89" s="12">
        <f>RANK(E89,$E$81:$E$92)</f>
        <v/>
      </c>
    </row>
    <row r="90" ht="15" customHeight="1" s="31">
      <c r="A90" s="7">
        <f>'Lịch thi đấu'!B6</f>
        <v/>
      </c>
      <c r="B90" s="4" t="n"/>
      <c r="C90" s="4" t="n"/>
      <c r="D90" s="4" t="n"/>
      <c r="E90" s="12">
        <f>SUM(B90+C90+D90)</f>
        <v/>
      </c>
      <c r="F90" s="12">
        <f>RANK(E90,$E$81:$E$92)</f>
        <v/>
      </c>
    </row>
    <row r="91" ht="15" customHeight="1" s="31">
      <c r="A91" s="7">
        <f>'Lịch thi đấu'!D9</f>
        <v/>
      </c>
      <c r="B91" s="4" t="n"/>
      <c r="C91" s="4" t="n"/>
      <c r="D91" s="4" t="n"/>
      <c r="E91" s="12">
        <f>SUM(B91+C91+D91)</f>
        <v/>
      </c>
      <c r="F91" s="12">
        <f>RANK(E91,$E$81:$E$92)</f>
        <v/>
      </c>
    </row>
    <row r="92" ht="15" customHeight="1" s="31">
      <c r="A92" s="7">
        <f>'Lịch thi đấu'!B7</f>
        <v/>
      </c>
      <c r="B92" s="4" t="n"/>
      <c r="C92" s="4" t="n"/>
      <c r="D92" s="4" t="n"/>
      <c r="E92" s="12">
        <f>SUM(B92+C92+D92)</f>
        <v/>
      </c>
      <c r="F92" s="12">
        <f>RANK(E92,$E$81:$E$92)</f>
        <v/>
      </c>
    </row>
    <row r="94" ht="15" customHeight="1" s="31">
      <c r="A94" s="39" t="inlineStr">
        <is>
          <t>Bản Lĩnh Kiên Cường</t>
        </is>
      </c>
      <c r="G94" s="18" t="inlineStr">
        <is>
          <t>Đội thắng:</t>
        </is>
      </c>
    </row>
    <row r="95" ht="33.75" customHeight="1" s="31">
      <c r="A95" s="1" t="inlineStr">
        <is>
          <t>Đội</t>
        </is>
      </c>
      <c r="B95" s="1" t="inlineStr">
        <is>
          <t>Không bỏ cuộc
(tối đa 40)</t>
        </is>
      </c>
      <c r="C95" s="1" t="inlineStr">
        <is>
          <t>Quyết tâm trong thi đấu
(tối đa 30)</t>
        </is>
      </c>
      <c r="D95" s="1" t="inlineStr">
        <is>
          <t>Vượt khó, nỗ lực
(tối đa 30)</t>
        </is>
      </c>
      <c r="E95" s="1" t="inlineStr">
        <is>
          <t>Tổng điểm</t>
        </is>
      </c>
      <c r="F95" s="1" t="inlineStr">
        <is>
          <t>Hạng</t>
        </is>
      </c>
      <c r="G95" s="12">
        <f>IF(MAX($E$96:$E$107)=0,"",INDEX($A$96:$A$107,MATCH(1,$F$96:$F$107,0)))</f>
        <v/>
      </c>
    </row>
    <row r="96" ht="15" customHeight="1" s="31">
      <c r="A96" s="7">
        <f>'Lịch thi đấu'!C7</f>
        <v/>
      </c>
      <c r="B96" s="4" t="n"/>
      <c r="C96" s="4" t="n"/>
      <c r="D96" s="4" t="n"/>
      <c r="E96" s="12">
        <f>SUM(B96+C96+D96)</f>
        <v/>
      </c>
      <c r="F96" s="12">
        <f>RANK(E96,$E$96:$E$107)</f>
        <v/>
      </c>
    </row>
    <row r="97" ht="15" customHeight="1" s="31">
      <c r="A97" s="7">
        <f>'Lịch thi đấu'!D7</f>
        <v/>
      </c>
      <c r="B97" s="4" t="n"/>
      <c r="C97" s="4" t="n"/>
      <c r="D97" s="4" t="n"/>
      <c r="E97" s="12">
        <f>SUM(B97+C97+D97)</f>
        <v/>
      </c>
      <c r="F97" s="12">
        <f>RANK(E97,$E$96:$E$107)</f>
        <v/>
      </c>
    </row>
    <row r="98" ht="15" customHeight="1" s="31">
      <c r="A98" s="7">
        <f>'Lịch thi đấu'!C8</f>
        <v/>
      </c>
      <c r="B98" s="4" t="n"/>
      <c r="C98" s="4" t="n"/>
      <c r="D98" s="4" t="n"/>
      <c r="E98" s="12">
        <f>SUM(B98+C98+D98)</f>
        <v/>
      </c>
      <c r="F98" s="12">
        <f>RANK(E98,$E$96:$E$107)</f>
        <v/>
      </c>
    </row>
    <row r="99" ht="15" customHeight="1" s="31">
      <c r="A99" s="7">
        <f>'Lịch thi đấu'!C6</f>
        <v/>
      </c>
      <c r="B99" s="4" t="n"/>
      <c r="C99" s="4" t="n"/>
      <c r="D99" s="4" t="n"/>
      <c r="E99" s="12">
        <f>SUM(B99+C99+D99)</f>
        <v/>
      </c>
      <c r="F99" s="12">
        <f>RANK(E99,$E$96:$E$107)</f>
        <v/>
      </c>
    </row>
    <row r="100" ht="15" customHeight="1" s="31">
      <c r="A100" s="7">
        <f>'Lịch thi đấu'!D6</f>
        <v/>
      </c>
      <c r="B100" s="4" t="n"/>
      <c r="C100" s="4" t="n"/>
      <c r="D100" s="4" t="n"/>
      <c r="E100" s="12">
        <f>SUM(B100+C100+D100)</f>
        <v/>
      </c>
      <c r="F100" s="12">
        <f>RANK(E100,$E$96:$E$107)</f>
        <v/>
      </c>
    </row>
    <row r="101" ht="15" customHeight="1" s="31">
      <c r="A101" s="7">
        <f>'Lịch thi đấu'!B9</f>
        <v/>
      </c>
      <c r="B101" s="4" t="n"/>
      <c r="C101" s="4" t="n"/>
      <c r="D101" s="4" t="n"/>
      <c r="E101" s="12">
        <f>SUM(B101+C101+D101)</f>
        <v/>
      </c>
      <c r="F101" s="12">
        <f>RANK(E101,$E$96:$E$107)</f>
        <v/>
      </c>
    </row>
    <row r="102" ht="15" customHeight="1" s="31">
      <c r="A102" s="7">
        <f>'Lịch thi đấu'!C9</f>
        <v/>
      </c>
      <c r="B102" s="4" t="n"/>
      <c r="C102" s="4" t="n"/>
      <c r="D102" s="4" t="n"/>
      <c r="E102" s="12">
        <f>SUM(B102+C102+D102)</f>
        <v/>
      </c>
      <c r="F102" s="12">
        <f>RANK(E102,$E$96:$E$107)</f>
        <v/>
      </c>
    </row>
    <row r="103" ht="15" customHeight="1" s="31">
      <c r="A103" s="7">
        <f>'Lịch thi đấu'!D8</f>
        <v/>
      </c>
      <c r="B103" s="4" t="n"/>
      <c r="C103" s="4" t="n"/>
      <c r="D103" s="4" t="n"/>
      <c r="E103" s="12">
        <f>SUM(B103+C103+D103)</f>
        <v/>
      </c>
      <c r="F103" s="12">
        <f>RANK(E103,$E$96:$E$107)</f>
        <v/>
      </c>
    </row>
    <row r="104" ht="15" customHeight="1" s="31">
      <c r="A104" s="7">
        <f>'Lịch thi đấu'!B8</f>
        <v/>
      </c>
      <c r="B104" s="4" t="n"/>
      <c r="C104" s="4" t="n"/>
      <c r="D104" s="4" t="n"/>
      <c r="E104" s="12">
        <f>SUM(B104+C104+D104)</f>
        <v/>
      </c>
      <c r="F104" s="12">
        <f>RANK(E104,$E$96:$E$107)</f>
        <v/>
      </c>
    </row>
    <row r="105" ht="15" customHeight="1" s="31">
      <c r="A105" s="7">
        <f>'Lịch thi đấu'!B6</f>
        <v/>
      </c>
      <c r="B105" s="4" t="n"/>
      <c r="C105" s="4" t="n"/>
      <c r="D105" s="4" t="n"/>
      <c r="E105" s="12">
        <f>SUM(B105+C105+D105)</f>
        <v/>
      </c>
      <c r="F105" s="12">
        <f>RANK(E105,$E$96:$E$107)</f>
        <v/>
      </c>
    </row>
    <row r="106" ht="15" customHeight="1" s="31">
      <c r="A106" s="7">
        <f>'Lịch thi đấu'!D9</f>
        <v/>
      </c>
      <c r="B106" s="4" t="n"/>
      <c r="C106" s="4" t="n"/>
      <c r="D106" s="4" t="n"/>
      <c r="E106" s="12">
        <f>SUM(B106+C106+D106)</f>
        <v/>
      </c>
      <c r="F106" s="12">
        <f>RANK(E106,$E$96:$E$107)</f>
        <v/>
      </c>
    </row>
    <row r="107" ht="15" customHeight="1" s="31">
      <c r="A107" s="7">
        <f>'Lịch thi đấu'!B7</f>
        <v/>
      </c>
      <c r="B107" s="4" t="n"/>
      <c r="C107" s="4" t="n"/>
      <c r="D107" s="4" t="n"/>
      <c r="E107" s="12">
        <f>SUM(B107+C107+D107)</f>
        <v/>
      </c>
      <c r="F107" s="12">
        <f>RANK(E107,$E$96:$E$107)</f>
        <v/>
      </c>
    </row>
    <row r="109" ht="15" customHeight="1" s="31">
      <c r="A109" s="39" t="inlineStr">
        <is>
          <t>Chiến Thuật Xuất Sắc</t>
        </is>
      </c>
      <c r="G109" s="18" t="inlineStr">
        <is>
          <t>Đội thắng:</t>
        </is>
      </c>
    </row>
    <row r="110" ht="33.75" customHeight="1" s="31">
      <c r="A110" s="1" t="inlineStr">
        <is>
          <t>Đội</t>
        </is>
      </c>
      <c r="B110" s="1" t="inlineStr">
        <is>
          <t>Chiến thuật hợp lý
(tối đa 40)</t>
        </is>
      </c>
      <c r="C110" s="1" t="inlineStr">
        <is>
          <t>Khả năng thích ứng
(tối đa 30)</t>
        </is>
      </c>
      <c r="D110" s="1" t="inlineStr">
        <is>
          <t>Hiệu quả chiến thuật
(tối đa 30)</t>
        </is>
      </c>
      <c r="E110" s="1" t="inlineStr">
        <is>
          <t>Tổng điểm</t>
        </is>
      </c>
      <c r="F110" s="1" t="inlineStr">
        <is>
          <t>Hạng</t>
        </is>
      </c>
      <c r="G110" s="12">
        <f>IF(MAX($E$111:$E$122)=0,"",INDEX($A$111:$A$122,MATCH(1,$F$111:$F$122,0)))</f>
        <v/>
      </c>
    </row>
    <row r="111" ht="15" customHeight="1" s="31">
      <c r="A111" s="7">
        <f>'Lịch thi đấu'!C7</f>
        <v/>
      </c>
      <c r="B111" s="4" t="n"/>
      <c r="C111" s="4" t="n"/>
      <c r="D111" s="4" t="n"/>
      <c r="E111" s="12">
        <f>SUM(B111+C111+D111)</f>
        <v/>
      </c>
      <c r="F111" s="12">
        <f>RANK(E111,$E$111:$E$122)</f>
        <v/>
      </c>
    </row>
    <row r="112" ht="15" customHeight="1" s="31">
      <c r="A112" s="7">
        <f>'Lịch thi đấu'!D7</f>
        <v/>
      </c>
      <c r="B112" s="4" t="n"/>
      <c r="C112" s="4" t="n"/>
      <c r="D112" s="4" t="n"/>
      <c r="E112" s="12">
        <f>SUM(B112+C112+D112)</f>
        <v/>
      </c>
      <c r="F112" s="12">
        <f>RANK(E112,$E$111:$E$122)</f>
        <v/>
      </c>
    </row>
    <row r="113" ht="15" customHeight="1" s="31">
      <c r="A113" s="7">
        <f>'Lịch thi đấu'!C8</f>
        <v/>
      </c>
      <c r="B113" s="4" t="n"/>
      <c r="C113" s="4" t="n"/>
      <c r="D113" s="4" t="n"/>
      <c r="E113" s="12">
        <f>SUM(B113+C113+D113)</f>
        <v/>
      </c>
      <c r="F113" s="12">
        <f>RANK(E113,$E$111:$E$122)</f>
        <v/>
      </c>
    </row>
    <row r="114" ht="15" customHeight="1" s="31">
      <c r="A114" s="7">
        <f>'Lịch thi đấu'!C6</f>
        <v/>
      </c>
      <c r="B114" s="4" t="n"/>
      <c r="C114" s="4" t="n"/>
      <c r="D114" s="4" t="n"/>
      <c r="E114" s="12">
        <f>SUM(B114+C114+D114)</f>
        <v/>
      </c>
      <c r="F114" s="12">
        <f>RANK(E114,$E$111:$E$122)</f>
        <v/>
      </c>
    </row>
    <row r="115" ht="15" customHeight="1" s="31">
      <c r="A115" s="7">
        <f>'Lịch thi đấu'!D6</f>
        <v/>
      </c>
      <c r="B115" s="4" t="n"/>
      <c r="C115" s="4" t="n"/>
      <c r="D115" s="4" t="n"/>
      <c r="E115" s="12">
        <f>SUM(B115+C115+D115)</f>
        <v/>
      </c>
      <c r="F115" s="12">
        <f>RANK(E115,$E$111:$E$122)</f>
        <v/>
      </c>
    </row>
    <row r="116" ht="15" customHeight="1" s="31">
      <c r="A116" s="7">
        <f>'Lịch thi đấu'!B9</f>
        <v/>
      </c>
      <c r="B116" s="4" t="n"/>
      <c r="C116" s="4" t="n"/>
      <c r="D116" s="4" t="n"/>
      <c r="E116" s="12">
        <f>SUM(B116+C116+D116)</f>
        <v/>
      </c>
      <c r="F116" s="12">
        <f>RANK(E116,$E$111:$E$122)</f>
        <v/>
      </c>
    </row>
    <row r="117" ht="15" customHeight="1" s="31">
      <c r="A117" s="7">
        <f>'Lịch thi đấu'!C9</f>
        <v/>
      </c>
      <c r="B117" s="4" t="n"/>
      <c r="C117" s="4" t="n"/>
      <c r="D117" s="4" t="n"/>
      <c r="E117" s="12">
        <f>SUM(B117+C117+D117)</f>
        <v/>
      </c>
      <c r="F117" s="12">
        <f>RANK(E117,$E$111:$E$122)</f>
        <v/>
      </c>
    </row>
    <row r="118" ht="15" customHeight="1" s="31">
      <c r="A118" s="7">
        <f>'Lịch thi đấu'!D8</f>
        <v/>
      </c>
      <c r="B118" s="4" t="n"/>
      <c r="C118" s="4" t="n"/>
      <c r="D118" s="4" t="n"/>
      <c r="E118" s="12">
        <f>SUM(B118+C118+D118)</f>
        <v/>
      </c>
      <c r="F118" s="12">
        <f>RANK(E118,$E$111:$E$122)</f>
        <v/>
      </c>
    </row>
    <row r="119" ht="15" customHeight="1" s="31">
      <c r="A119" s="7">
        <f>'Lịch thi đấu'!B8</f>
        <v/>
      </c>
      <c r="B119" s="4" t="n"/>
      <c r="C119" s="4" t="n"/>
      <c r="D119" s="4" t="n"/>
      <c r="E119" s="12">
        <f>SUM(B119+C119+D119)</f>
        <v/>
      </c>
      <c r="F119" s="12">
        <f>RANK(E119,$E$111:$E$122)</f>
        <v/>
      </c>
    </row>
    <row r="120" ht="15" customHeight="1" s="31">
      <c r="A120" s="7">
        <f>'Lịch thi đấu'!B6</f>
        <v/>
      </c>
      <c r="B120" s="4" t="n"/>
      <c r="C120" s="4" t="n"/>
      <c r="D120" s="4" t="n"/>
      <c r="E120" s="12">
        <f>SUM(B120+C120+D120)</f>
        <v/>
      </c>
      <c r="F120" s="12">
        <f>RANK(E120,$E$111:$E$122)</f>
        <v/>
      </c>
    </row>
    <row r="121" ht="15" customHeight="1" s="31">
      <c r="A121" s="7">
        <f>'Lịch thi đấu'!D9</f>
        <v/>
      </c>
      <c r="B121" s="4" t="n"/>
      <c r="C121" s="4" t="n"/>
      <c r="D121" s="4" t="n"/>
      <c r="E121" s="12">
        <f>SUM(B121+C121+D121)</f>
        <v/>
      </c>
      <c r="F121" s="12">
        <f>RANK(E121,$E$111:$E$122)</f>
        <v/>
      </c>
    </row>
    <row r="122" ht="15" customHeight="1" s="31">
      <c r="A122" s="7">
        <f>'Lịch thi đấu'!B7</f>
        <v/>
      </c>
      <c r="B122" s="4" t="n"/>
      <c r="C122" s="4" t="n"/>
      <c r="D122" s="4" t="n"/>
      <c r="E122" s="12">
        <f>SUM(B122+C122+D122)</f>
        <v/>
      </c>
      <c r="F122" s="12">
        <f>RANK(E122,$E$111:$E$122)</f>
        <v/>
      </c>
    </row>
    <row r="124" ht="15" customHeight="1" s="31">
      <c r="A124" s="39" t="inlineStr">
        <is>
          <t>Đội hình đoàn kết</t>
        </is>
      </c>
      <c r="G124" s="18" t="inlineStr">
        <is>
          <t>Đội thắng:</t>
        </is>
      </c>
    </row>
    <row r="125" ht="33.75" customHeight="1" s="31">
      <c r="A125" s="1" t="inlineStr">
        <is>
          <t>Đội</t>
        </is>
      </c>
      <c r="B125" s="1" t="inlineStr">
        <is>
          <t>Đoàn kết
(tối đa 40)</t>
        </is>
      </c>
      <c r="C125" s="1" t="inlineStr">
        <is>
          <t>Hỗ trợ nhau
(tối đa 30)</t>
        </is>
      </c>
      <c r="D125" s="1" t="inlineStr">
        <is>
          <t>Tinh thần tập thể
(tối đa 30)</t>
        </is>
      </c>
      <c r="E125" s="1" t="inlineStr">
        <is>
          <t>Tổng điểm</t>
        </is>
      </c>
      <c r="F125" s="1" t="inlineStr">
        <is>
          <t>Hạng</t>
        </is>
      </c>
      <c r="G125" s="12">
        <f>IF(MAX($E$126:$E$137)=0,"",INDEX($A$126:$A$137,MATCH(1,$F$126:$F$137,0)))</f>
        <v/>
      </c>
    </row>
    <row r="126" ht="15" customHeight="1" s="31">
      <c r="A126" s="7">
        <f>'Lịch thi đấu'!C7</f>
        <v/>
      </c>
      <c r="B126" s="4" t="n"/>
      <c r="C126" s="4" t="n"/>
      <c r="D126" s="4" t="n"/>
      <c r="E126" s="12">
        <f>SUM(B126+C126+D126)</f>
        <v/>
      </c>
      <c r="F126" s="12">
        <f>RANK(E126,$E$126:$E$137)</f>
        <v/>
      </c>
    </row>
    <row r="127" ht="15" customHeight="1" s="31">
      <c r="A127" s="7">
        <f>'Lịch thi đấu'!D7</f>
        <v/>
      </c>
      <c r="B127" s="4" t="n"/>
      <c r="C127" s="4" t="n"/>
      <c r="D127" s="4" t="n"/>
      <c r="E127" s="12">
        <f>SUM(B127+C127+D127)</f>
        <v/>
      </c>
      <c r="F127" s="12">
        <f>RANK(E127,$E$126:$E$137)</f>
        <v/>
      </c>
    </row>
    <row r="128" ht="15" customHeight="1" s="31">
      <c r="A128" s="7">
        <f>'Lịch thi đấu'!C8</f>
        <v/>
      </c>
      <c r="B128" s="4" t="n"/>
      <c r="C128" s="4" t="n"/>
      <c r="D128" s="4" t="n"/>
      <c r="E128" s="12">
        <f>SUM(B128+C128+D128)</f>
        <v/>
      </c>
      <c r="F128" s="12">
        <f>RANK(E128,$E$126:$E$137)</f>
        <v/>
      </c>
    </row>
    <row r="129" ht="15" customHeight="1" s="31">
      <c r="A129" s="7">
        <f>'Lịch thi đấu'!C6</f>
        <v/>
      </c>
      <c r="B129" s="4" t="n"/>
      <c r="C129" s="4" t="n"/>
      <c r="D129" s="4" t="n"/>
      <c r="E129" s="12">
        <f>SUM(B129+C129+D129)</f>
        <v/>
      </c>
      <c r="F129" s="12">
        <f>RANK(E129,$E$126:$E$137)</f>
        <v/>
      </c>
    </row>
    <row r="130" ht="15" customHeight="1" s="31">
      <c r="A130" s="7">
        <f>'Lịch thi đấu'!D6</f>
        <v/>
      </c>
      <c r="B130" s="4" t="n"/>
      <c r="C130" s="4" t="n"/>
      <c r="D130" s="4" t="n"/>
      <c r="E130" s="12">
        <f>SUM(B130+C130+D130)</f>
        <v/>
      </c>
      <c r="F130" s="12">
        <f>RANK(E130,$E$126:$E$137)</f>
        <v/>
      </c>
    </row>
    <row r="131" ht="15" customHeight="1" s="31">
      <c r="A131" s="7">
        <f>'Lịch thi đấu'!B9</f>
        <v/>
      </c>
      <c r="B131" s="4" t="n"/>
      <c r="C131" s="4" t="n"/>
      <c r="D131" s="4" t="n"/>
      <c r="E131" s="12">
        <f>SUM(B131+C131+D131)</f>
        <v/>
      </c>
      <c r="F131" s="12">
        <f>RANK(E131,$E$126:$E$137)</f>
        <v/>
      </c>
    </row>
    <row r="132" ht="15" customHeight="1" s="31">
      <c r="A132" s="7">
        <f>'Lịch thi đấu'!C9</f>
        <v/>
      </c>
      <c r="B132" s="4" t="n"/>
      <c r="C132" s="4" t="n"/>
      <c r="D132" s="4" t="n"/>
      <c r="E132" s="12">
        <f>SUM(B132+C132+D132)</f>
        <v/>
      </c>
      <c r="F132" s="12">
        <f>RANK(E132,$E$126:$E$137)</f>
        <v/>
      </c>
    </row>
    <row r="133" ht="15" customHeight="1" s="31">
      <c r="A133" s="7">
        <f>'Lịch thi đấu'!D8</f>
        <v/>
      </c>
      <c r="B133" s="4" t="n"/>
      <c r="C133" s="4" t="n"/>
      <c r="D133" s="4" t="n"/>
      <c r="E133" s="12">
        <f>SUM(B133+C133+D133)</f>
        <v/>
      </c>
      <c r="F133" s="12">
        <f>RANK(E133,$E$126:$E$137)</f>
        <v/>
      </c>
    </row>
    <row r="134" ht="15" customHeight="1" s="31">
      <c r="A134" s="7">
        <f>'Lịch thi đấu'!B8</f>
        <v/>
      </c>
      <c r="B134" s="4" t="n"/>
      <c r="C134" s="4" t="n"/>
      <c r="D134" s="4" t="n"/>
      <c r="E134" s="12">
        <f>SUM(B134+C134+D134)</f>
        <v/>
      </c>
      <c r="F134" s="12">
        <f>RANK(E134,$E$126:$E$137)</f>
        <v/>
      </c>
    </row>
    <row r="135" ht="15" customHeight="1" s="31">
      <c r="A135" s="7">
        <f>'Lịch thi đấu'!B6</f>
        <v/>
      </c>
      <c r="B135" s="4" t="n"/>
      <c r="C135" s="4" t="n"/>
      <c r="D135" s="4" t="n"/>
      <c r="E135" s="12">
        <f>SUM(B135+C135+D135)</f>
        <v/>
      </c>
      <c r="F135" s="12">
        <f>RANK(E135,$E$126:$E$137)</f>
        <v/>
      </c>
    </row>
    <row r="136" ht="15" customHeight="1" s="31">
      <c r="A136" s="7">
        <f>'Lịch thi đấu'!D9</f>
        <v/>
      </c>
      <c r="B136" s="4" t="n"/>
      <c r="C136" s="4" t="n"/>
      <c r="D136" s="4" t="n"/>
      <c r="E136" s="12">
        <f>SUM(B136+C136+D136)</f>
        <v/>
      </c>
      <c r="F136" s="12">
        <f>RANK(E136,$E$126:$E$137)</f>
        <v/>
      </c>
    </row>
    <row r="137" ht="15" customHeight="1" s="31">
      <c r="A137" s="7">
        <f>'Lịch thi đấu'!B7</f>
        <v/>
      </c>
      <c r="B137" s="4" t="n"/>
      <c r="C137" s="4" t="n"/>
      <c r="D137" s="4" t="n"/>
      <c r="E137" s="12">
        <f>SUM(B137+C137+D137)</f>
        <v/>
      </c>
      <c r="F137" s="12">
        <f>RANK(E137,$E$126:$E$137)</f>
        <v/>
      </c>
    </row>
    <row r="139" ht="15" customHeight="1" s="31">
      <c r="A139" s="39" t="inlineStr">
        <is>
          <t>Lội Ngược Dòng Ấn Tượng</t>
        </is>
      </c>
      <c r="G139" s="18" t="inlineStr">
        <is>
          <t>Đội thắng:</t>
        </is>
      </c>
    </row>
    <row r="140" ht="33.75" customHeight="1" s="31">
      <c r="A140" s="1" t="inlineStr">
        <is>
          <t>Đội</t>
        </is>
      </c>
      <c r="B140" s="1" t="inlineStr">
        <is>
          <t>Mức độ bứt phá
(tối đa 40)</t>
        </is>
      </c>
      <c r="C140" s="1" t="inlineStr">
        <is>
          <t>Ý chí thi đấu
(tối đa 30)</t>
        </is>
      </c>
      <c r="D140" s="1" t="inlineStr">
        <is>
          <t>Kết quả sau khi lội ngược dòng
(tối đa 30)</t>
        </is>
      </c>
      <c r="E140" s="1" t="inlineStr">
        <is>
          <t>Tổng điểm</t>
        </is>
      </c>
      <c r="F140" s="1" t="inlineStr">
        <is>
          <t>Hạng</t>
        </is>
      </c>
      <c r="G140" s="12">
        <f>IF(MAX($E$141:$E$152)=0,"",INDEX($A$141:$A$152,MATCH(1,$F$141:$F$152,0)))</f>
        <v/>
      </c>
    </row>
    <row r="141" ht="15" customHeight="1" s="31">
      <c r="A141" s="7">
        <f>'Lịch thi đấu'!C7</f>
        <v/>
      </c>
      <c r="B141" s="4" t="n"/>
      <c r="C141" s="4" t="n"/>
      <c r="D141" s="4" t="n"/>
      <c r="E141" s="12">
        <f>SUM(B141+C141+D141)</f>
        <v/>
      </c>
      <c r="F141" s="12">
        <f>RANK(E141,$E$141:$E$152)</f>
        <v/>
      </c>
    </row>
    <row r="142" ht="15" customHeight="1" s="31">
      <c r="A142" s="7">
        <f>'Lịch thi đấu'!D7</f>
        <v/>
      </c>
      <c r="B142" s="4" t="n"/>
      <c r="C142" s="4" t="n"/>
      <c r="D142" s="4" t="n"/>
      <c r="E142" s="12">
        <f>SUM(B142+C142+D142)</f>
        <v/>
      </c>
      <c r="F142" s="12">
        <f>RANK(E142,$E$141:$E$152)</f>
        <v/>
      </c>
    </row>
    <row r="143" ht="15" customHeight="1" s="31">
      <c r="A143" s="7">
        <f>'Lịch thi đấu'!C8</f>
        <v/>
      </c>
      <c r="B143" s="4" t="n"/>
      <c r="C143" s="4" t="n"/>
      <c r="D143" s="4" t="n"/>
      <c r="E143" s="12">
        <f>SUM(B143+C143+D143)</f>
        <v/>
      </c>
      <c r="F143" s="12">
        <f>RANK(E143,$E$141:$E$152)</f>
        <v/>
      </c>
    </row>
    <row r="144" ht="15" customHeight="1" s="31">
      <c r="A144" s="7">
        <f>'Lịch thi đấu'!C6</f>
        <v/>
      </c>
      <c r="B144" s="4" t="n"/>
      <c r="C144" s="4" t="n"/>
      <c r="D144" s="4" t="n"/>
      <c r="E144" s="12">
        <f>SUM(B144+C144+D144)</f>
        <v/>
      </c>
      <c r="F144" s="12">
        <f>RANK(E144,$E$141:$E$152)</f>
        <v/>
      </c>
    </row>
    <row r="145" ht="15" customHeight="1" s="31">
      <c r="A145" s="7">
        <f>'Lịch thi đấu'!D6</f>
        <v/>
      </c>
      <c r="B145" s="4" t="n"/>
      <c r="C145" s="4" t="n"/>
      <c r="D145" s="4" t="n"/>
      <c r="E145" s="12">
        <f>SUM(B145+C145+D145)</f>
        <v/>
      </c>
      <c r="F145" s="12">
        <f>RANK(E145,$E$141:$E$152)</f>
        <v/>
      </c>
    </row>
    <row r="146" ht="15" customHeight="1" s="31">
      <c r="A146" s="7">
        <f>'Lịch thi đấu'!B9</f>
        <v/>
      </c>
      <c r="B146" s="4" t="n"/>
      <c r="C146" s="4" t="n"/>
      <c r="D146" s="4" t="n"/>
      <c r="E146" s="12">
        <f>SUM(B146+C146+D146)</f>
        <v/>
      </c>
      <c r="F146" s="12">
        <f>RANK(E146,$E$141:$E$152)</f>
        <v/>
      </c>
    </row>
    <row r="147" ht="15" customHeight="1" s="31">
      <c r="A147" s="7">
        <f>'Lịch thi đấu'!C9</f>
        <v/>
      </c>
      <c r="B147" s="4" t="n"/>
      <c r="C147" s="4" t="n"/>
      <c r="D147" s="4" t="n"/>
      <c r="E147" s="12">
        <f>SUM(B147+C147+D147)</f>
        <v/>
      </c>
      <c r="F147" s="12">
        <f>RANK(E147,$E$141:$E$152)</f>
        <v/>
      </c>
    </row>
    <row r="148" ht="15" customHeight="1" s="31">
      <c r="A148" s="7">
        <f>'Lịch thi đấu'!D8</f>
        <v/>
      </c>
      <c r="B148" s="4" t="n"/>
      <c r="C148" s="4" t="n"/>
      <c r="D148" s="4" t="n"/>
      <c r="E148" s="12">
        <f>SUM(B148+C148+D148)</f>
        <v/>
      </c>
      <c r="F148" s="12">
        <f>RANK(E148,$E$141:$E$152)</f>
        <v/>
      </c>
    </row>
    <row r="149" ht="15" customHeight="1" s="31">
      <c r="A149" s="7">
        <f>'Lịch thi đấu'!B8</f>
        <v/>
      </c>
      <c r="B149" s="4" t="n"/>
      <c r="C149" s="4" t="n"/>
      <c r="D149" s="4" t="n"/>
      <c r="E149" s="12">
        <f>SUM(B149+C149+D149)</f>
        <v/>
      </c>
      <c r="F149" s="12">
        <f>RANK(E149,$E$141:$E$152)</f>
        <v/>
      </c>
    </row>
    <row r="150" ht="15" customHeight="1" s="31">
      <c r="A150" s="7">
        <f>'Lịch thi đấu'!B6</f>
        <v/>
      </c>
      <c r="B150" s="4" t="n"/>
      <c r="C150" s="4" t="n"/>
      <c r="D150" s="4" t="n"/>
      <c r="E150" s="12">
        <f>SUM(B150+C150+D150)</f>
        <v/>
      </c>
      <c r="F150" s="12">
        <f>RANK(E150,$E$141:$E$152)</f>
        <v/>
      </c>
    </row>
    <row r="151" ht="15" customHeight="1" s="31">
      <c r="A151" s="7">
        <f>'Lịch thi đấu'!D9</f>
        <v/>
      </c>
      <c r="B151" s="4" t="n"/>
      <c r="C151" s="4" t="n"/>
      <c r="D151" s="4" t="n"/>
      <c r="E151" s="12">
        <f>SUM(B151+C151+D151)</f>
        <v/>
      </c>
      <c r="F151" s="12">
        <f>RANK(E151,$E$141:$E$152)</f>
        <v/>
      </c>
    </row>
    <row r="152" ht="15" customHeight="1" s="31">
      <c r="A152" s="7">
        <f>'Lịch thi đấu'!B7</f>
        <v/>
      </c>
      <c r="B152" s="4" t="n"/>
      <c r="C152" s="4" t="n"/>
      <c r="D152" s="4" t="n"/>
      <c r="E152" s="12">
        <f>SUM(B152+C152+D152)</f>
        <v/>
      </c>
      <c r="F152" s="12">
        <f>RANK(E152,$E$141:$E$152)</f>
        <v/>
      </c>
    </row>
    <row r="154" ht="15" customHeight="1" s="31">
      <c r="A154" s="39" t="inlineStr">
        <is>
          <t>Đội Truyền Cảm Hứng</t>
        </is>
      </c>
      <c r="G154" s="18" t="inlineStr">
        <is>
          <t>Đội thắng:</t>
        </is>
      </c>
    </row>
    <row r="155" ht="33.75" customHeight="1" s="31">
      <c r="A155" s="1" t="inlineStr">
        <is>
          <t>Đội</t>
        </is>
      </c>
      <c r="B155" s="1" t="inlineStr">
        <is>
          <t>Lan tỏa tinh thần tích cực
(tối đa 40)</t>
        </is>
      </c>
      <c r="C155" s="1" t="inlineStr">
        <is>
          <t>Hình ảnh đẹp trong thi đấu
(tối đa 30)</t>
        </is>
      </c>
      <c r="D155" s="1" t="inlineStr">
        <is>
          <t>Được các đội khác ghi nhận
(tối đa 30)</t>
        </is>
      </c>
      <c r="E155" s="1" t="inlineStr">
        <is>
          <t>Tổng điểm</t>
        </is>
      </c>
      <c r="F155" s="1" t="inlineStr">
        <is>
          <t>Hạng</t>
        </is>
      </c>
      <c r="G155" s="12">
        <f>IF(MAX($E$156:$E$167)=0,"",INDEX($A$156:$A$167,MATCH(1,$F$156:$F$167,0)))</f>
        <v/>
      </c>
    </row>
    <row r="156" ht="15" customHeight="1" s="31">
      <c r="A156" s="7">
        <f>'Lịch thi đấu'!C7</f>
        <v/>
      </c>
      <c r="B156" s="4" t="n"/>
      <c r="C156" s="4" t="n"/>
      <c r="D156" s="4" t="n"/>
      <c r="E156" s="12">
        <f>SUM(B156+C156+D156)</f>
        <v/>
      </c>
      <c r="F156" s="12">
        <f>RANK(E156,$E$156:$E$167)</f>
        <v/>
      </c>
    </row>
    <row r="157" ht="15" customHeight="1" s="31">
      <c r="A157" s="7">
        <f>'Lịch thi đấu'!D7</f>
        <v/>
      </c>
      <c r="B157" s="4" t="n"/>
      <c r="C157" s="4" t="n"/>
      <c r="D157" s="4" t="n"/>
      <c r="E157" s="12">
        <f>SUM(B157+C157+D157)</f>
        <v/>
      </c>
      <c r="F157" s="12">
        <f>RANK(E157,$E$156:$E$167)</f>
        <v/>
      </c>
    </row>
    <row r="158" ht="15" customHeight="1" s="31">
      <c r="A158" s="7">
        <f>'Lịch thi đấu'!C8</f>
        <v/>
      </c>
      <c r="B158" s="4" t="n"/>
      <c r="C158" s="4" t="n"/>
      <c r="D158" s="4" t="n"/>
      <c r="E158" s="12">
        <f>SUM(B158+C158+D158)</f>
        <v/>
      </c>
      <c r="F158" s="12">
        <f>RANK(E158,$E$156:$E$167)</f>
        <v/>
      </c>
    </row>
    <row r="159" ht="15" customHeight="1" s="31">
      <c r="A159" s="7">
        <f>'Lịch thi đấu'!C6</f>
        <v/>
      </c>
      <c r="B159" s="4" t="n"/>
      <c r="C159" s="4" t="n"/>
      <c r="D159" s="4" t="n"/>
      <c r="E159" s="12">
        <f>SUM(B159+C159+D159)</f>
        <v/>
      </c>
      <c r="F159" s="12">
        <f>RANK(E159,$E$156:$E$167)</f>
        <v/>
      </c>
    </row>
    <row r="160" ht="15" customHeight="1" s="31">
      <c r="A160" s="7">
        <f>'Lịch thi đấu'!D6</f>
        <v/>
      </c>
      <c r="B160" s="4" t="n"/>
      <c r="C160" s="4" t="n"/>
      <c r="D160" s="4" t="n"/>
      <c r="E160" s="12">
        <f>SUM(B160+C160+D160)</f>
        <v/>
      </c>
      <c r="F160" s="12">
        <f>RANK(E160,$E$156:$E$167)</f>
        <v/>
      </c>
    </row>
    <row r="161" ht="15" customHeight="1" s="31">
      <c r="A161" s="7">
        <f>'Lịch thi đấu'!B9</f>
        <v/>
      </c>
      <c r="B161" s="4" t="n"/>
      <c r="C161" s="4" t="n"/>
      <c r="D161" s="4" t="n"/>
      <c r="E161" s="12">
        <f>SUM(B161+C161+D161)</f>
        <v/>
      </c>
      <c r="F161" s="12">
        <f>RANK(E161,$E$156:$E$167)</f>
        <v/>
      </c>
    </row>
    <row r="162" ht="15" customHeight="1" s="31">
      <c r="A162" s="7">
        <f>'Lịch thi đấu'!C9</f>
        <v/>
      </c>
      <c r="B162" s="4" t="n"/>
      <c r="C162" s="4" t="n"/>
      <c r="D162" s="4" t="n"/>
      <c r="E162" s="12">
        <f>SUM(B162+C162+D162)</f>
        <v/>
      </c>
      <c r="F162" s="12">
        <f>RANK(E162,$E$156:$E$167)</f>
        <v/>
      </c>
    </row>
    <row r="163" ht="15" customHeight="1" s="31">
      <c r="A163" s="7">
        <f>'Lịch thi đấu'!D8</f>
        <v/>
      </c>
      <c r="B163" s="4" t="n"/>
      <c r="C163" s="4" t="n"/>
      <c r="D163" s="4" t="n"/>
      <c r="E163" s="12">
        <f>SUM(B163+C163+D163)</f>
        <v/>
      </c>
      <c r="F163" s="12">
        <f>RANK(E163,$E$156:$E$167)</f>
        <v/>
      </c>
    </row>
    <row r="164" ht="15" customHeight="1" s="31">
      <c r="A164" s="7">
        <f>'Lịch thi đấu'!B8</f>
        <v/>
      </c>
      <c r="B164" s="4" t="n"/>
      <c r="C164" s="4" t="n"/>
      <c r="D164" s="4" t="n"/>
      <c r="E164" s="12">
        <f>SUM(B164+C164+D164)</f>
        <v/>
      </c>
      <c r="F164" s="12">
        <f>RANK(E164,$E$156:$E$167)</f>
        <v/>
      </c>
    </row>
    <row r="165" ht="15" customHeight="1" s="31">
      <c r="A165" s="7">
        <f>'Lịch thi đấu'!B6</f>
        <v/>
      </c>
      <c r="B165" s="4" t="n"/>
      <c r="C165" s="4" t="n"/>
      <c r="D165" s="4" t="n"/>
      <c r="E165" s="12">
        <f>SUM(B165+C165+D165)</f>
        <v/>
      </c>
      <c r="F165" s="12">
        <f>RANK(E165,$E$156:$E$167)</f>
        <v/>
      </c>
    </row>
    <row r="166" ht="15" customHeight="1" s="31">
      <c r="A166" s="7">
        <f>'Lịch thi đấu'!D9</f>
        <v/>
      </c>
      <c r="B166" s="4" t="n"/>
      <c r="C166" s="4" t="n"/>
      <c r="D166" s="4" t="n"/>
      <c r="E166" s="12">
        <f>SUM(B166+C166+D166)</f>
        <v/>
      </c>
      <c r="F166" s="12">
        <f>RANK(E166,$E$156:$E$167)</f>
        <v/>
      </c>
    </row>
    <row r="167" ht="15" customHeight="1" s="31">
      <c r="A167" s="7">
        <f>'Lịch thi đấu'!B7</f>
        <v/>
      </c>
      <c r="B167" s="4" t="n"/>
      <c r="C167" s="4" t="n"/>
      <c r="D167" s="4" t="n"/>
      <c r="E167" s="12">
        <f>SUM(B167+C167+D167)</f>
        <v/>
      </c>
      <c r="F167" s="12">
        <f>RANK(E167,$E$156:$E$167)</f>
        <v/>
      </c>
    </row>
    <row r="169" ht="15" customHeight="1" s="31">
      <c r="A169" s="39" t="inlineStr">
        <is>
          <t>Lá Chắn Nữ Hoàng</t>
        </is>
      </c>
      <c r="H169" s="18" t="inlineStr">
        <is>
          <t>Đội thắng:</t>
        </is>
      </c>
    </row>
    <row r="170" ht="33.75" customHeight="1" s="31">
      <c r="A170" s="1" t="inlineStr">
        <is>
          <t>Đội</t>
        </is>
      </c>
      <c r="B170" s="1" t="inlineStr">
        <is>
          <t>Thời gian bảo vệ Nữ hoàng lâu nhất trong trận
(tối đa 50)</t>
        </is>
      </c>
      <c r="C170" s="1" t="inlineStr">
        <is>
          <t>Khả năng phối hợp che chắn, hỗ trợ đồng đội
(tối đa 20)</t>
        </is>
      </c>
      <c r="D170" s="1" t="inlineStr">
        <is>
          <t>Số lần hóa giải tình huống nguy hiểm cho Nữ hoàng
(tối đa 20)</t>
        </is>
      </c>
      <c r="E170" s="1" t="inlineStr">
        <is>
          <t>Tuân thủ luật chơi và tinh thần Fair Play
(tối đa 10)</t>
        </is>
      </c>
      <c r="F170" s="1" t="inlineStr">
        <is>
          <t>Tổng điểm</t>
        </is>
      </c>
      <c r="G170" s="1" t="inlineStr">
        <is>
          <t>Hạng</t>
        </is>
      </c>
      <c r="H170" s="12">
        <f>IF(MAX($F$171:$F$182)=0,"",INDEX($A$171:$A$182,MATCH(1,$G$171:$G$182,0)))</f>
        <v/>
      </c>
    </row>
    <row r="171" ht="15" customHeight="1" s="31">
      <c r="A171" s="7">
        <f>'Lịch thi đấu'!C7</f>
        <v/>
      </c>
      <c r="B171" s="4" t="n"/>
      <c r="C171" s="4" t="n"/>
      <c r="D171" s="4" t="n"/>
      <c r="E171" s="4" t="n"/>
      <c r="F171" s="12">
        <f>SUM(B171+C171+D171+E171)</f>
        <v/>
      </c>
      <c r="G171" s="12">
        <f>RANK(F171,$F$171:$F$182)</f>
        <v/>
      </c>
    </row>
    <row r="172" ht="15" customHeight="1" s="31">
      <c r="A172" s="7">
        <f>'Lịch thi đấu'!D7</f>
        <v/>
      </c>
      <c r="B172" s="4" t="n"/>
      <c r="C172" s="4" t="n"/>
      <c r="D172" s="4" t="n"/>
      <c r="E172" s="4" t="n"/>
      <c r="F172" s="12">
        <f>SUM(B172+C172+D172+E172)</f>
        <v/>
      </c>
      <c r="G172" s="12">
        <f>RANK(F172,$F$171:$F$182)</f>
        <v/>
      </c>
    </row>
    <row r="173" ht="15" customHeight="1" s="31">
      <c r="A173" s="7">
        <f>'Lịch thi đấu'!C8</f>
        <v/>
      </c>
      <c r="B173" s="4" t="n"/>
      <c r="C173" s="4" t="n"/>
      <c r="D173" s="4" t="n"/>
      <c r="E173" s="4" t="n"/>
      <c r="F173" s="12">
        <f>SUM(B173+C173+D173+E173)</f>
        <v/>
      </c>
      <c r="G173" s="12">
        <f>RANK(F173,$F$171:$F$182)</f>
        <v/>
      </c>
    </row>
    <row r="174" ht="15" customHeight="1" s="31">
      <c r="A174" s="7">
        <f>'Lịch thi đấu'!C6</f>
        <v/>
      </c>
      <c r="B174" s="4" t="n"/>
      <c r="C174" s="4" t="n"/>
      <c r="D174" s="4" t="n"/>
      <c r="E174" s="4" t="n"/>
      <c r="F174" s="12">
        <f>SUM(B174+C174+D174+E174)</f>
        <v/>
      </c>
      <c r="G174" s="12">
        <f>RANK(F174,$F$171:$F$182)</f>
        <v/>
      </c>
    </row>
    <row r="175" ht="15" customHeight="1" s="31">
      <c r="A175" s="7">
        <f>'Lịch thi đấu'!D6</f>
        <v/>
      </c>
      <c r="B175" s="4" t="n"/>
      <c r="C175" s="4" t="n"/>
      <c r="D175" s="4" t="n"/>
      <c r="E175" s="4" t="n"/>
      <c r="F175" s="12">
        <f>SUM(B175+C175+D175+E175)</f>
        <v/>
      </c>
      <c r="G175" s="12">
        <f>RANK(F175,$F$171:$F$182)</f>
        <v/>
      </c>
    </row>
    <row r="176" ht="15" customHeight="1" s="31">
      <c r="A176" s="7">
        <f>'Lịch thi đấu'!B9</f>
        <v/>
      </c>
      <c r="B176" s="4" t="n"/>
      <c r="C176" s="4" t="n"/>
      <c r="D176" s="4" t="n"/>
      <c r="E176" s="4" t="n"/>
      <c r="F176" s="12">
        <f>SUM(B176+C176+D176+E176)</f>
        <v/>
      </c>
      <c r="G176" s="12">
        <f>RANK(F176,$F$171:$F$182)</f>
        <v/>
      </c>
    </row>
    <row r="177" ht="15" customHeight="1" s="31">
      <c r="A177" s="7">
        <f>'Lịch thi đấu'!C9</f>
        <v/>
      </c>
      <c r="B177" s="4" t="n"/>
      <c r="C177" s="4" t="n"/>
      <c r="D177" s="4" t="n"/>
      <c r="E177" s="4" t="n"/>
      <c r="F177" s="12">
        <f>SUM(B177+C177+D177+E177)</f>
        <v/>
      </c>
      <c r="G177" s="12">
        <f>RANK(F177,$F$171:$F$182)</f>
        <v/>
      </c>
    </row>
    <row r="178" ht="15" customHeight="1" s="31">
      <c r="A178" s="7">
        <f>'Lịch thi đấu'!D8</f>
        <v/>
      </c>
      <c r="B178" s="4" t="n"/>
      <c r="C178" s="4" t="n"/>
      <c r="D178" s="4" t="n"/>
      <c r="E178" s="4" t="n"/>
      <c r="F178" s="12">
        <f>SUM(B178+C178+D178+E178)</f>
        <v/>
      </c>
      <c r="G178" s="12">
        <f>RANK(F178,$F$171:$F$182)</f>
        <v/>
      </c>
    </row>
    <row r="179" ht="15" customHeight="1" s="31">
      <c r="A179" s="7">
        <f>'Lịch thi đấu'!B8</f>
        <v/>
      </c>
      <c r="B179" s="4" t="n"/>
      <c r="C179" s="4" t="n"/>
      <c r="D179" s="4" t="n"/>
      <c r="E179" s="4" t="n"/>
      <c r="F179" s="12">
        <f>SUM(B179+C179+D179+E179)</f>
        <v/>
      </c>
      <c r="G179" s="12">
        <f>RANK(F179,$F$171:$F$182)</f>
        <v/>
      </c>
    </row>
    <row r="180" ht="15" customHeight="1" s="31">
      <c r="A180" s="7">
        <f>'Lịch thi đấu'!B6</f>
        <v/>
      </c>
      <c r="B180" s="4" t="n"/>
      <c r="C180" s="4" t="n"/>
      <c r="D180" s="4" t="n"/>
      <c r="E180" s="4" t="n"/>
      <c r="F180" s="12">
        <f>SUM(B180+C180+D180+E180)</f>
        <v/>
      </c>
      <c r="G180" s="12">
        <f>RANK(F180,$F$171:$F$182)</f>
        <v/>
      </c>
    </row>
    <row r="181" ht="15" customHeight="1" s="31">
      <c r="A181" s="7">
        <f>'Lịch thi đấu'!D9</f>
        <v/>
      </c>
      <c r="B181" s="4" t="n"/>
      <c r="C181" s="4" t="n"/>
      <c r="D181" s="4" t="n"/>
      <c r="E181" s="4" t="n"/>
      <c r="F181" s="12">
        <f>SUM(B181+C181+D181+E181)</f>
        <v/>
      </c>
      <c r="G181" s="12">
        <f>RANK(F181,$F$171:$F$182)</f>
        <v/>
      </c>
    </row>
    <row r="182" ht="15" customHeight="1" s="31">
      <c r="A182" s="7">
        <f>'Lịch thi đấu'!B7</f>
        <v/>
      </c>
      <c r="B182" s="4" t="n"/>
      <c r="C182" s="4" t="n"/>
      <c r="D182" s="4" t="n"/>
      <c r="E182" s="4" t="n"/>
      <c r="F182" s="12">
        <f>SUM(B182+C182+D182+E182)</f>
        <v/>
      </c>
      <c r="G182" s="12">
        <f>RANK(F182,$F$171:$F$182)</f>
        <v/>
      </c>
    </row>
  </sheetData>
  <mergeCells count="14">
    <mergeCell ref="A169:G169"/>
    <mergeCell ref="A49:F49"/>
    <mergeCell ref="A94:F94"/>
    <mergeCell ref="A2:H2"/>
    <mergeCell ref="A124:F124"/>
    <mergeCell ref="A79:F79"/>
    <mergeCell ref="A34:F34"/>
    <mergeCell ref="A1:H1"/>
    <mergeCell ref="A139:F139"/>
    <mergeCell ref="A154:F154"/>
    <mergeCell ref="A19:G19"/>
    <mergeCell ref="A109:F109"/>
    <mergeCell ref="A64:F64"/>
    <mergeCell ref="A17:H17"/>
  </mergeCells>
  <dataValidations count="5">
    <dataValidation sqref="B21:C32 C36:D47 C51:D62 C66:D77 C81:D92 C96:D107 C111:D122 C126:D137 C141:D152 C156:D167" showDropDown="0" showInputMessage="0" showErrorMessage="0" allowBlank="1" type="whole">
      <formula1>0</formula1>
      <formula2>30</formula2>
    </dataValidation>
    <dataValidation sqref="C171:D182 D21:E32" showDropDown="0" showInputMessage="0" showErrorMessage="0" allowBlank="1" type="whole">
      <formula1>0</formula1>
      <formula2>20</formula2>
    </dataValidation>
    <dataValidation sqref="B36:B47 B51:B62 B66:B77 B81:B92 B96:B107 B111:B122 B126:B137 B141:B152 B156:B167" showDropDown="0" showInputMessage="0" showErrorMessage="0" allowBlank="1" type="whole">
      <formula1>0</formula1>
      <formula2>40</formula2>
    </dataValidation>
    <dataValidation sqref="B171:B182" showDropDown="0" showInputMessage="0" showErrorMessage="0" allowBlank="1" type="whole">
      <formula1>0</formula1>
      <formula2>50</formula2>
    </dataValidation>
    <dataValidation sqref="E171:E182" showDropDown="0" showInputMessage="0" showErrorMessage="0" allowBlank="1" type="whole">
      <formula1>0</formula1>
      <formula2>10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20" customWidth="1" style="31" min="1" max="1"/>
    <col width="12" customWidth="1" style="31" min="2" max="2"/>
    <col width="16" customWidth="1" style="31" min="3" max="3"/>
    <col width="8" customWidth="1" style="31" min="4" max="4"/>
    <col width="3" customWidth="1" style="31" min="5" max="5"/>
    <col width="2" customWidth="1" style="31" min="6" max="6"/>
    <col outlineLevel="1" width="18" customWidth="1" style="31" min="7" max="7"/>
    <col outlineLevel="1" width="10" customWidth="1" style="31" min="8" max="8"/>
    <col outlineLevel="1" width="8" customWidth="1" style="31" min="9" max="9"/>
    <col outlineLevel="1" width="10" customWidth="1" style="31" min="10" max="10"/>
  </cols>
  <sheetData>
    <row r="1" ht="19.5" customHeight="1" s="31">
      <c r="A1" s="30" t="inlineStr">
        <is>
          <t>CẦU THỦ GHI BÀN — GIẢI CẦU THỦ XUẤT SẮC NHẤT (BÓNG NÉ)</t>
        </is>
      </c>
    </row>
    <row r="2" ht="15" customHeight="1" s="31">
      <c r="A2" s="33" t="inlineStr">
        <is>
          <t>Hoàn toàn tự động: danh sách cầu thủ, đội, tổng bàn thắng và xếp hạng đều lấy thẳng từ bảng "Chi tiết ghi bàn" ở sheet 'Nhập kết quả' — không cần nhập gì ở đây.</t>
        </is>
      </c>
    </row>
    <row r="3" ht="15" customHeight="1" s="31">
      <c r="A3" s="36" t="inlineStr">
        <is>
          <t>Chỉ cần nhập đầy đủ dữ liệu ở sheet 'Nhập kết quả'; danh sách dưới đây tự cập nhật và tự sắp xếp theo số bàn thắng giảm dần.</t>
        </is>
      </c>
    </row>
    <row r="4" ht="15" customHeight="1" s="31">
      <c r="G4" s="19" t="inlineStr">
        <is>
          <t>Vùng phụ trợ (không cần chỉnh sửa) — dùng để sắp xếp tự động</t>
        </is>
      </c>
    </row>
    <row r="5" ht="23.25" customHeight="1" s="31">
      <c r="A5" s="1" t="inlineStr">
        <is>
          <t>Tên cầu thủ</t>
        </is>
      </c>
      <c r="B5" s="1" t="inlineStr">
        <is>
          <t>Đội</t>
        </is>
      </c>
      <c r="C5" s="1" t="inlineStr">
        <is>
          <t>Tổng số bàn thắng</t>
        </is>
      </c>
      <c r="D5" s="1" t="inlineStr">
        <is>
          <t>Hạng</t>
        </is>
      </c>
      <c r="G5" s="14" t="inlineStr">
        <is>
          <t>Tên (trích tự động)</t>
        </is>
      </c>
      <c r="H5" s="14" t="inlineStr">
        <is>
          <t>Đội</t>
        </is>
      </c>
      <c r="I5" s="14" t="inlineStr">
        <is>
          <t>Bàn</t>
        </is>
      </c>
      <c r="J5" s="14" t="inlineStr">
        <is>
          <t>Khóa sắp xếp</t>
        </is>
      </c>
    </row>
    <row r="6" ht="15" customHeight="1" s="31">
      <c r="A6" s="12">
        <f>IFERROR(INDEX($G$6:$G$45,MATCH(LARGE($J$6:$J$45,1),$J$6:$J$45,0)),"")</f>
        <v/>
      </c>
      <c r="B6" s="2">
        <f>IF(A6="","",IFERROR(INDEX($H$6:$H$45,MATCH(LARGE($J$6:$J$45,1),$J$6:$J$45,0)),""))</f>
        <v/>
      </c>
      <c r="C6" s="12">
        <f>IF(A6="","",IFERROR(INDEX($I$6:$I$45,MATCH(LARGE($J$6:$J$45,1),$J$6:$J$45,0)),""))</f>
        <v/>
      </c>
      <c r="D6" s="12">
        <f>IF(A6="","",RANK(C6,$I$6:$I$45))</f>
        <v/>
      </c>
      <c r="G6" s="20">
        <f>IFERROR(INDEX('Nhập kết quả'!$D$40:$D$84,MATCH(1,'Nhập kết quả'!$F$40:$F$84,0)),"")</f>
        <v/>
      </c>
      <c r="H6" s="20">
        <f>IF(G6="","",IFERROR(INDEX('Nhập kết quả'!$C$40:$C$84,MATCH(G6,'Nhập kết quả'!$D$40:$D$84,0)),""))</f>
        <v/>
      </c>
      <c r="I6" s="20">
        <f>IF(G6="","",SUMIF('Nhập kết quả'!$D$40:$D$84,G6,'Nhập kết quả'!$E$40:$E$84))</f>
        <v/>
      </c>
      <c r="J6" s="15">
        <f>IF(G6="","",I6*1000-1)</f>
        <v/>
      </c>
    </row>
    <row r="7" ht="15" customHeight="1" s="31">
      <c r="A7" s="12">
        <f>IFERROR(INDEX($G$6:$G$45,MATCH(LARGE($J$6:$J$45,2),$J$6:$J$45,0)),"")</f>
        <v/>
      </c>
      <c r="B7" s="2">
        <f>IF(A7="","",IFERROR(INDEX($H$6:$H$45,MATCH(LARGE($J$6:$J$45,2),$J$6:$J$45,0)),""))</f>
        <v/>
      </c>
      <c r="C7" s="12">
        <f>IF(A7="","",IFERROR(INDEX($I$6:$I$45,MATCH(LARGE($J$6:$J$45,2),$J$6:$J$45,0)),""))</f>
        <v/>
      </c>
      <c r="D7" s="12">
        <f>IF(A7="","",RANK(C7,$I$6:$I$45))</f>
        <v/>
      </c>
      <c r="G7" s="20">
        <f>IFERROR(INDEX('Nhập kết quả'!$D$40:$D$84,MATCH(2,'Nhập kết quả'!$F$40:$F$84,0)),"")</f>
        <v/>
      </c>
      <c r="H7" s="20">
        <f>IF(G7="","",IFERROR(INDEX('Nhập kết quả'!$C$40:$C$84,MATCH(G7,'Nhập kết quả'!$D$40:$D$84,0)),""))</f>
        <v/>
      </c>
      <c r="I7" s="20">
        <f>IF(G7="","",SUMIF('Nhập kết quả'!$D$40:$D$84,G7,'Nhập kết quả'!$E$40:$E$84))</f>
        <v/>
      </c>
      <c r="J7" s="15">
        <f>IF(G7="","",I7*1000-2)</f>
        <v/>
      </c>
    </row>
    <row r="8" ht="15" customHeight="1" s="31">
      <c r="A8" s="12">
        <f>IFERROR(INDEX($G$6:$G$45,MATCH(LARGE($J$6:$J$45,3),$J$6:$J$45,0)),"")</f>
        <v/>
      </c>
      <c r="B8" s="2">
        <f>IF(A8="","",IFERROR(INDEX($H$6:$H$45,MATCH(LARGE($J$6:$J$45,3),$J$6:$J$45,0)),""))</f>
        <v/>
      </c>
      <c r="C8" s="12">
        <f>IF(A8="","",IFERROR(INDEX($I$6:$I$45,MATCH(LARGE($J$6:$J$45,3),$J$6:$J$45,0)),""))</f>
        <v/>
      </c>
      <c r="D8" s="12">
        <f>IF(A8="","",RANK(C8,$I$6:$I$45))</f>
        <v/>
      </c>
      <c r="G8" s="20">
        <f>IFERROR(INDEX('Nhập kết quả'!$D$40:$D$84,MATCH(3,'Nhập kết quả'!$F$40:$F$84,0)),"")</f>
        <v/>
      </c>
      <c r="H8" s="20">
        <f>IF(G8="","",IFERROR(INDEX('Nhập kết quả'!$C$40:$C$84,MATCH(G8,'Nhập kết quả'!$D$40:$D$84,0)),""))</f>
        <v/>
      </c>
      <c r="I8" s="20">
        <f>IF(G8="","",SUMIF('Nhập kết quả'!$D$40:$D$84,G8,'Nhập kết quả'!$E$40:$E$84))</f>
        <v/>
      </c>
      <c r="J8" s="15">
        <f>IF(G8="","",I8*1000-3)</f>
        <v/>
      </c>
    </row>
    <row r="9" ht="15" customHeight="1" s="31">
      <c r="A9" s="12">
        <f>IFERROR(INDEX($G$6:$G$45,MATCH(LARGE($J$6:$J$45,4),$J$6:$J$45,0)),"")</f>
        <v/>
      </c>
      <c r="B9" s="2">
        <f>IF(A9="","",IFERROR(INDEX($H$6:$H$45,MATCH(LARGE($J$6:$J$45,4),$J$6:$J$45,0)),""))</f>
        <v/>
      </c>
      <c r="C9" s="12">
        <f>IF(A9="","",IFERROR(INDEX($I$6:$I$45,MATCH(LARGE($J$6:$J$45,4),$J$6:$J$45,0)),""))</f>
        <v/>
      </c>
      <c r="D9" s="12">
        <f>IF(A9="","",RANK(C9,$I$6:$I$45))</f>
        <v/>
      </c>
      <c r="G9" s="20">
        <f>IFERROR(INDEX('Nhập kết quả'!$D$40:$D$84,MATCH(4,'Nhập kết quả'!$F$40:$F$84,0)),"")</f>
        <v/>
      </c>
      <c r="H9" s="20">
        <f>IF(G9="","",IFERROR(INDEX('Nhập kết quả'!$C$40:$C$84,MATCH(G9,'Nhập kết quả'!$D$40:$D$84,0)),""))</f>
        <v/>
      </c>
      <c r="I9" s="20">
        <f>IF(G9="","",SUMIF('Nhập kết quả'!$D$40:$D$84,G9,'Nhập kết quả'!$E$40:$E$84))</f>
        <v/>
      </c>
      <c r="J9" s="15">
        <f>IF(G9="","",I9*1000-4)</f>
        <v/>
      </c>
    </row>
    <row r="10" ht="15" customHeight="1" s="31">
      <c r="A10" s="12">
        <f>IFERROR(INDEX($G$6:$G$45,MATCH(LARGE($J$6:$J$45,5),$J$6:$J$45,0)),"")</f>
        <v/>
      </c>
      <c r="B10" s="2">
        <f>IF(A10="","",IFERROR(INDEX($H$6:$H$45,MATCH(LARGE($J$6:$J$45,5),$J$6:$J$45,0)),""))</f>
        <v/>
      </c>
      <c r="C10" s="12">
        <f>IF(A10="","",IFERROR(INDEX($I$6:$I$45,MATCH(LARGE($J$6:$J$45,5),$J$6:$J$45,0)),""))</f>
        <v/>
      </c>
      <c r="D10" s="12">
        <f>IF(A10="","",RANK(C10,$I$6:$I$45))</f>
        <v/>
      </c>
      <c r="G10" s="20">
        <f>IFERROR(INDEX('Nhập kết quả'!$D$40:$D$84,MATCH(5,'Nhập kết quả'!$F$40:$F$84,0)),"")</f>
        <v/>
      </c>
      <c r="H10" s="20">
        <f>IF(G10="","",IFERROR(INDEX('Nhập kết quả'!$C$40:$C$84,MATCH(G10,'Nhập kết quả'!$D$40:$D$84,0)),""))</f>
        <v/>
      </c>
      <c r="I10" s="20">
        <f>IF(G10="","",SUMIF('Nhập kết quả'!$D$40:$D$84,G10,'Nhập kết quả'!$E$40:$E$84))</f>
        <v/>
      </c>
      <c r="J10" s="15">
        <f>IF(G10="","",I10*1000-5)</f>
        <v/>
      </c>
    </row>
    <row r="11" ht="15" customHeight="1" s="31">
      <c r="A11" s="12">
        <f>IFERROR(INDEX($G$6:$G$45,MATCH(LARGE($J$6:$J$45,6),$J$6:$J$45,0)),"")</f>
        <v/>
      </c>
      <c r="B11" s="2">
        <f>IF(A11="","",IFERROR(INDEX($H$6:$H$45,MATCH(LARGE($J$6:$J$45,6),$J$6:$J$45,0)),""))</f>
        <v/>
      </c>
      <c r="C11" s="12">
        <f>IF(A11="","",IFERROR(INDEX($I$6:$I$45,MATCH(LARGE($J$6:$J$45,6),$J$6:$J$45,0)),""))</f>
        <v/>
      </c>
      <c r="D11" s="12">
        <f>IF(A11="","",RANK(C11,$I$6:$I$45))</f>
        <v/>
      </c>
      <c r="G11" s="20">
        <f>IFERROR(INDEX('Nhập kết quả'!$D$40:$D$84,MATCH(6,'Nhập kết quả'!$F$40:$F$84,0)),"")</f>
        <v/>
      </c>
      <c r="H11" s="20">
        <f>IF(G11="","",IFERROR(INDEX('Nhập kết quả'!$C$40:$C$84,MATCH(G11,'Nhập kết quả'!$D$40:$D$84,0)),""))</f>
        <v/>
      </c>
      <c r="I11" s="20">
        <f>IF(G11="","",SUMIF('Nhập kết quả'!$D$40:$D$84,G11,'Nhập kết quả'!$E$40:$E$84))</f>
        <v/>
      </c>
      <c r="J11" s="15">
        <f>IF(G11="","",I11*1000-6)</f>
        <v/>
      </c>
    </row>
    <row r="12" ht="15" customHeight="1" s="31">
      <c r="A12" s="12">
        <f>IFERROR(INDEX($G$6:$G$45,MATCH(LARGE($J$6:$J$45,7),$J$6:$J$45,0)),"")</f>
        <v/>
      </c>
      <c r="B12" s="2">
        <f>IF(A12="","",IFERROR(INDEX($H$6:$H$45,MATCH(LARGE($J$6:$J$45,7),$J$6:$J$45,0)),""))</f>
        <v/>
      </c>
      <c r="C12" s="12">
        <f>IF(A12="","",IFERROR(INDEX($I$6:$I$45,MATCH(LARGE($J$6:$J$45,7),$J$6:$J$45,0)),""))</f>
        <v/>
      </c>
      <c r="D12" s="12">
        <f>IF(A12="","",RANK(C12,$I$6:$I$45))</f>
        <v/>
      </c>
      <c r="G12" s="20">
        <f>IFERROR(INDEX('Nhập kết quả'!$D$40:$D$84,MATCH(7,'Nhập kết quả'!$F$40:$F$84,0)),"")</f>
        <v/>
      </c>
      <c r="H12" s="20">
        <f>IF(G12="","",IFERROR(INDEX('Nhập kết quả'!$C$40:$C$84,MATCH(G12,'Nhập kết quả'!$D$40:$D$84,0)),""))</f>
        <v/>
      </c>
      <c r="I12" s="20">
        <f>IF(G12="","",SUMIF('Nhập kết quả'!$D$40:$D$84,G12,'Nhập kết quả'!$E$40:$E$84))</f>
        <v/>
      </c>
      <c r="J12" s="15">
        <f>IF(G12="","",I12*1000-7)</f>
        <v/>
      </c>
    </row>
    <row r="13" ht="15" customHeight="1" s="31">
      <c r="A13" s="12">
        <f>IFERROR(INDEX($G$6:$G$45,MATCH(LARGE($J$6:$J$45,8),$J$6:$J$45,0)),"")</f>
        <v/>
      </c>
      <c r="B13" s="2">
        <f>IF(A13="","",IFERROR(INDEX($H$6:$H$45,MATCH(LARGE($J$6:$J$45,8),$J$6:$J$45,0)),""))</f>
        <v/>
      </c>
      <c r="C13" s="12">
        <f>IF(A13="","",IFERROR(INDEX($I$6:$I$45,MATCH(LARGE($J$6:$J$45,8),$J$6:$J$45,0)),""))</f>
        <v/>
      </c>
      <c r="D13" s="12">
        <f>IF(A13="","",RANK(C13,$I$6:$I$45))</f>
        <v/>
      </c>
      <c r="G13" s="20">
        <f>IFERROR(INDEX('Nhập kết quả'!$D$40:$D$84,MATCH(8,'Nhập kết quả'!$F$40:$F$84,0)),"")</f>
        <v/>
      </c>
      <c r="H13" s="20">
        <f>IF(G13="","",IFERROR(INDEX('Nhập kết quả'!$C$40:$C$84,MATCH(G13,'Nhập kết quả'!$D$40:$D$84,0)),""))</f>
        <v/>
      </c>
      <c r="I13" s="20">
        <f>IF(G13="","",SUMIF('Nhập kết quả'!$D$40:$D$84,G13,'Nhập kết quả'!$E$40:$E$84))</f>
        <v/>
      </c>
      <c r="J13" s="15">
        <f>IF(G13="","",I13*1000-8)</f>
        <v/>
      </c>
    </row>
    <row r="14" ht="15" customHeight="1" s="31">
      <c r="A14" s="12">
        <f>IFERROR(INDEX($G$6:$G$45,MATCH(LARGE($J$6:$J$45,9),$J$6:$J$45,0)),"")</f>
        <v/>
      </c>
      <c r="B14" s="2">
        <f>IF(A14="","",IFERROR(INDEX($H$6:$H$45,MATCH(LARGE($J$6:$J$45,9),$J$6:$J$45,0)),""))</f>
        <v/>
      </c>
      <c r="C14" s="12">
        <f>IF(A14="","",IFERROR(INDEX($I$6:$I$45,MATCH(LARGE($J$6:$J$45,9),$J$6:$J$45,0)),""))</f>
        <v/>
      </c>
      <c r="D14" s="12">
        <f>IF(A14="","",RANK(C14,$I$6:$I$45))</f>
        <v/>
      </c>
      <c r="G14" s="20">
        <f>IFERROR(INDEX('Nhập kết quả'!$D$40:$D$84,MATCH(9,'Nhập kết quả'!$F$40:$F$84,0)),"")</f>
        <v/>
      </c>
      <c r="H14" s="20">
        <f>IF(G14="","",IFERROR(INDEX('Nhập kết quả'!$C$40:$C$84,MATCH(G14,'Nhập kết quả'!$D$40:$D$84,0)),""))</f>
        <v/>
      </c>
      <c r="I14" s="20">
        <f>IF(G14="","",SUMIF('Nhập kết quả'!$D$40:$D$84,G14,'Nhập kết quả'!$E$40:$E$84))</f>
        <v/>
      </c>
      <c r="J14" s="15">
        <f>IF(G14="","",I14*1000-9)</f>
        <v/>
      </c>
    </row>
    <row r="15" ht="15" customHeight="1" s="31">
      <c r="A15" s="12">
        <f>IFERROR(INDEX($G$6:$G$45,MATCH(LARGE($J$6:$J$45,10),$J$6:$J$45,0)),"")</f>
        <v/>
      </c>
      <c r="B15" s="2">
        <f>IF(A15="","",IFERROR(INDEX($H$6:$H$45,MATCH(LARGE($J$6:$J$45,10),$J$6:$J$45,0)),""))</f>
        <v/>
      </c>
      <c r="C15" s="12">
        <f>IF(A15="","",IFERROR(INDEX($I$6:$I$45,MATCH(LARGE($J$6:$J$45,10),$J$6:$J$45,0)),""))</f>
        <v/>
      </c>
      <c r="D15" s="12">
        <f>IF(A15="","",RANK(C15,$I$6:$I$45))</f>
        <v/>
      </c>
      <c r="G15" s="20">
        <f>IFERROR(INDEX('Nhập kết quả'!$D$40:$D$84,MATCH(10,'Nhập kết quả'!$F$40:$F$84,0)),"")</f>
        <v/>
      </c>
      <c r="H15" s="20">
        <f>IF(G15="","",IFERROR(INDEX('Nhập kết quả'!$C$40:$C$84,MATCH(G15,'Nhập kết quả'!$D$40:$D$84,0)),""))</f>
        <v/>
      </c>
      <c r="I15" s="20">
        <f>IF(G15="","",SUMIF('Nhập kết quả'!$D$40:$D$84,G15,'Nhập kết quả'!$E$40:$E$84))</f>
        <v/>
      </c>
      <c r="J15" s="15">
        <f>IF(G15="","",I15*1000-10)</f>
        <v/>
      </c>
    </row>
    <row r="16" ht="15" customHeight="1" s="31">
      <c r="A16" s="12">
        <f>IFERROR(INDEX($G$6:$G$45,MATCH(LARGE($J$6:$J$45,11),$J$6:$J$45,0)),"")</f>
        <v/>
      </c>
      <c r="B16" s="2">
        <f>IF(A16="","",IFERROR(INDEX($H$6:$H$45,MATCH(LARGE($J$6:$J$45,11),$J$6:$J$45,0)),""))</f>
        <v/>
      </c>
      <c r="C16" s="12">
        <f>IF(A16="","",IFERROR(INDEX($I$6:$I$45,MATCH(LARGE($J$6:$J$45,11),$J$6:$J$45,0)),""))</f>
        <v/>
      </c>
      <c r="D16" s="12">
        <f>IF(A16="","",RANK(C16,$I$6:$I$45))</f>
        <v/>
      </c>
      <c r="G16" s="20">
        <f>IFERROR(INDEX('Nhập kết quả'!$D$40:$D$84,MATCH(11,'Nhập kết quả'!$F$40:$F$84,0)),"")</f>
        <v/>
      </c>
      <c r="H16" s="20">
        <f>IF(G16="","",IFERROR(INDEX('Nhập kết quả'!$C$40:$C$84,MATCH(G16,'Nhập kết quả'!$D$40:$D$84,0)),""))</f>
        <v/>
      </c>
      <c r="I16" s="20">
        <f>IF(G16="","",SUMIF('Nhập kết quả'!$D$40:$D$84,G16,'Nhập kết quả'!$E$40:$E$84))</f>
        <v/>
      </c>
      <c r="J16" s="15">
        <f>IF(G16="","",I16*1000-11)</f>
        <v/>
      </c>
    </row>
    <row r="17" ht="15" customHeight="1" s="31">
      <c r="A17" s="12">
        <f>IFERROR(INDEX($G$6:$G$45,MATCH(LARGE($J$6:$J$45,12),$J$6:$J$45,0)),"")</f>
        <v/>
      </c>
      <c r="B17" s="2">
        <f>IF(A17="","",IFERROR(INDEX($H$6:$H$45,MATCH(LARGE($J$6:$J$45,12),$J$6:$J$45,0)),""))</f>
        <v/>
      </c>
      <c r="C17" s="12">
        <f>IF(A17="","",IFERROR(INDEX($I$6:$I$45,MATCH(LARGE($J$6:$J$45,12),$J$6:$J$45,0)),""))</f>
        <v/>
      </c>
      <c r="D17" s="12">
        <f>IF(A17="","",RANK(C17,$I$6:$I$45))</f>
        <v/>
      </c>
      <c r="G17" s="20">
        <f>IFERROR(INDEX('Nhập kết quả'!$D$40:$D$84,MATCH(12,'Nhập kết quả'!$F$40:$F$84,0)),"")</f>
        <v/>
      </c>
      <c r="H17" s="20">
        <f>IF(G17="","",IFERROR(INDEX('Nhập kết quả'!$C$40:$C$84,MATCH(G17,'Nhập kết quả'!$D$40:$D$84,0)),""))</f>
        <v/>
      </c>
      <c r="I17" s="20">
        <f>IF(G17="","",SUMIF('Nhập kết quả'!$D$40:$D$84,G17,'Nhập kết quả'!$E$40:$E$84))</f>
        <v/>
      </c>
      <c r="J17" s="15">
        <f>IF(G17="","",I17*1000-12)</f>
        <v/>
      </c>
    </row>
    <row r="18" ht="15" customHeight="1" s="31">
      <c r="A18" s="12">
        <f>IFERROR(INDEX($G$6:$G$45,MATCH(LARGE($J$6:$J$45,13),$J$6:$J$45,0)),"")</f>
        <v/>
      </c>
      <c r="B18" s="2">
        <f>IF(A18="","",IFERROR(INDEX($H$6:$H$45,MATCH(LARGE($J$6:$J$45,13),$J$6:$J$45,0)),""))</f>
        <v/>
      </c>
      <c r="C18" s="12">
        <f>IF(A18="","",IFERROR(INDEX($I$6:$I$45,MATCH(LARGE($J$6:$J$45,13),$J$6:$J$45,0)),""))</f>
        <v/>
      </c>
      <c r="D18" s="12">
        <f>IF(A18="","",RANK(C18,$I$6:$I$45))</f>
        <v/>
      </c>
      <c r="G18" s="20">
        <f>IFERROR(INDEX('Nhập kết quả'!$D$40:$D$84,MATCH(13,'Nhập kết quả'!$F$40:$F$84,0)),"")</f>
        <v/>
      </c>
      <c r="H18" s="20">
        <f>IF(G18="","",IFERROR(INDEX('Nhập kết quả'!$C$40:$C$84,MATCH(G18,'Nhập kết quả'!$D$40:$D$84,0)),""))</f>
        <v/>
      </c>
      <c r="I18" s="20">
        <f>IF(G18="","",SUMIF('Nhập kết quả'!$D$40:$D$84,G18,'Nhập kết quả'!$E$40:$E$84))</f>
        <v/>
      </c>
      <c r="J18" s="15">
        <f>IF(G18="","",I18*1000-13)</f>
        <v/>
      </c>
    </row>
    <row r="19" ht="15" customHeight="1" s="31">
      <c r="A19" s="12">
        <f>IFERROR(INDEX($G$6:$G$45,MATCH(LARGE($J$6:$J$45,14),$J$6:$J$45,0)),"")</f>
        <v/>
      </c>
      <c r="B19" s="2">
        <f>IF(A19="","",IFERROR(INDEX($H$6:$H$45,MATCH(LARGE($J$6:$J$45,14),$J$6:$J$45,0)),""))</f>
        <v/>
      </c>
      <c r="C19" s="12">
        <f>IF(A19="","",IFERROR(INDEX($I$6:$I$45,MATCH(LARGE($J$6:$J$45,14),$J$6:$J$45,0)),""))</f>
        <v/>
      </c>
      <c r="D19" s="12">
        <f>IF(A19="","",RANK(C19,$I$6:$I$45))</f>
        <v/>
      </c>
      <c r="G19" s="20">
        <f>IFERROR(INDEX('Nhập kết quả'!$D$40:$D$84,MATCH(14,'Nhập kết quả'!$F$40:$F$84,0)),"")</f>
        <v/>
      </c>
      <c r="H19" s="20">
        <f>IF(G19="","",IFERROR(INDEX('Nhập kết quả'!$C$40:$C$84,MATCH(G19,'Nhập kết quả'!$D$40:$D$84,0)),""))</f>
        <v/>
      </c>
      <c r="I19" s="20">
        <f>IF(G19="","",SUMIF('Nhập kết quả'!$D$40:$D$84,G19,'Nhập kết quả'!$E$40:$E$84))</f>
        <v/>
      </c>
      <c r="J19" s="15">
        <f>IF(G19="","",I19*1000-14)</f>
        <v/>
      </c>
    </row>
    <row r="20" ht="15" customHeight="1" s="31">
      <c r="A20" s="12">
        <f>IFERROR(INDEX($G$6:$G$45,MATCH(LARGE($J$6:$J$45,15),$J$6:$J$45,0)),"")</f>
        <v/>
      </c>
      <c r="B20" s="2">
        <f>IF(A20="","",IFERROR(INDEX($H$6:$H$45,MATCH(LARGE($J$6:$J$45,15),$J$6:$J$45,0)),""))</f>
        <v/>
      </c>
      <c r="C20" s="12">
        <f>IF(A20="","",IFERROR(INDEX($I$6:$I$45,MATCH(LARGE($J$6:$J$45,15),$J$6:$J$45,0)),""))</f>
        <v/>
      </c>
      <c r="D20" s="12">
        <f>IF(A20="","",RANK(C20,$I$6:$I$45))</f>
        <v/>
      </c>
      <c r="G20" s="20">
        <f>IFERROR(INDEX('Nhập kết quả'!$D$40:$D$84,MATCH(15,'Nhập kết quả'!$F$40:$F$84,0)),"")</f>
        <v/>
      </c>
      <c r="H20" s="20">
        <f>IF(G20="","",IFERROR(INDEX('Nhập kết quả'!$C$40:$C$84,MATCH(G20,'Nhập kết quả'!$D$40:$D$84,0)),""))</f>
        <v/>
      </c>
      <c r="I20" s="20">
        <f>IF(G20="","",SUMIF('Nhập kết quả'!$D$40:$D$84,G20,'Nhập kết quả'!$E$40:$E$84))</f>
        <v/>
      </c>
      <c r="J20" s="15">
        <f>IF(G20="","",I20*1000-15)</f>
        <v/>
      </c>
    </row>
    <row r="21" ht="15" customHeight="1" s="31">
      <c r="A21" s="12">
        <f>IFERROR(INDEX($G$6:$G$45,MATCH(LARGE($J$6:$J$45,16),$J$6:$J$45,0)),"")</f>
        <v/>
      </c>
      <c r="B21" s="2">
        <f>IF(A21="","",IFERROR(INDEX($H$6:$H$45,MATCH(LARGE($J$6:$J$45,16),$J$6:$J$45,0)),""))</f>
        <v/>
      </c>
      <c r="C21" s="12">
        <f>IF(A21="","",IFERROR(INDEX($I$6:$I$45,MATCH(LARGE($J$6:$J$45,16),$J$6:$J$45,0)),""))</f>
        <v/>
      </c>
      <c r="D21" s="12">
        <f>IF(A21="","",RANK(C21,$I$6:$I$45))</f>
        <v/>
      </c>
      <c r="G21" s="20">
        <f>IFERROR(INDEX('Nhập kết quả'!$D$40:$D$84,MATCH(16,'Nhập kết quả'!$F$40:$F$84,0)),"")</f>
        <v/>
      </c>
      <c r="H21" s="20">
        <f>IF(G21="","",IFERROR(INDEX('Nhập kết quả'!$C$40:$C$84,MATCH(G21,'Nhập kết quả'!$D$40:$D$84,0)),""))</f>
        <v/>
      </c>
      <c r="I21" s="20">
        <f>IF(G21="","",SUMIF('Nhập kết quả'!$D$40:$D$84,G21,'Nhập kết quả'!$E$40:$E$84))</f>
        <v/>
      </c>
      <c r="J21" s="15">
        <f>IF(G21="","",I21*1000-16)</f>
        <v/>
      </c>
    </row>
    <row r="22" ht="15" customHeight="1" s="31">
      <c r="A22" s="12">
        <f>IFERROR(INDEX($G$6:$G$45,MATCH(LARGE($J$6:$J$45,17),$J$6:$J$45,0)),"")</f>
        <v/>
      </c>
      <c r="B22" s="2">
        <f>IF(A22="","",IFERROR(INDEX($H$6:$H$45,MATCH(LARGE($J$6:$J$45,17),$J$6:$J$45,0)),""))</f>
        <v/>
      </c>
      <c r="C22" s="12">
        <f>IF(A22="","",IFERROR(INDEX($I$6:$I$45,MATCH(LARGE($J$6:$J$45,17),$J$6:$J$45,0)),""))</f>
        <v/>
      </c>
      <c r="D22" s="12">
        <f>IF(A22="","",RANK(C22,$I$6:$I$45))</f>
        <v/>
      </c>
      <c r="G22" s="20">
        <f>IFERROR(INDEX('Nhập kết quả'!$D$40:$D$84,MATCH(17,'Nhập kết quả'!$F$40:$F$84,0)),"")</f>
        <v/>
      </c>
      <c r="H22" s="20">
        <f>IF(G22="","",IFERROR(INDEX('Nhập kết quả'!$C$40:$C$84,MATCH(G22,'Nhập kết quả'!$D$40:$D$84,0)),""))</f>
        <v/>
      </c>
      <c r="I22" s="20">
        <f>IF(G22="","",SUMIF('Nhập kết quả'!$D$40:$D$84,G22,'Nhập kết quả'!$E$40:$E$84))</f>
        <v/>
      </c>
      <c r="J22" s="15">
        <f>IF(G22="","",I22*1000-17)</f>
        <v/>
      </c>
    </row>
    <row r="23" ht="15" customHeight="1" s="31">
      <c r="A23" s="12">
        <f>IFERROR(INDEX($G$6:$G$45,MATCH(LARGE($J$6:$J$45,18),$J$6:$J$45,0)),"")</f>
        <v/>
      </c>
      <c r="B23" s="2">
        <f>IF(A23="","",IFERROR(INDEX($H$6:$H$45,MATCH(LARGE($J$6:$J$45,18),$J$6:$J$45,0)),""))</f>
        <v/>
      </c>
      <c r="C23" s="12">
        <f>IF(A23="","",IFERROR(INDEX($I$6:$I$45,MATCH(LARGE($J$6:$J$45,18),$J$6:$J$45,0)),""))</f>
        <v/>
      </c>
      <c r="D23" s="12">
        <f>IF(A23="","",RANK(C23,$I$6:$I$45))</f>
        <v/>
      </c>
      <c r="G23" s="20">
        <f>IFERROR(INDEX('Nhập kết quả'!$D$40:$D$84,MATCH(18,'Nhập kết quả'!$F$40:$F$84,0)),"")</f>
        <v/>
      </c>
      <c r="H23" s="20">
        <f>IF(G23="","",IFERROR(INDEX('Nhập kết quả'!$C$40:$C$84,MATCH(G23,'Nhập kết quả'!$D$40:$D$84,0)),""))</f>
        <v/>
      </c>
      <c r="I23" s="20">
        <f>IF(G23="","",SUMIF('Nhập kết quả'!$D$40:$D$84,G23,'Nhập kết quả'!$E$40:$E$84))</f>
        <v/>
      </c>
      <c r="J23" s="15">
        <f>IF(G23="","",I23*1000-18)</f>
        <v/>
      </c>
    </row>
    <row r="24" ht="15" customHeight="1" s="31">
      <c r="A24" s="12">
        <f>IFERROR(INDEX($G$6:$G$45,MATCH(LARGE($J$6:$J$45,19),$J$6:$J$45,0)),"")</f>
        <v/>
      </c>
      <c r="B24" s="2">
        <f>IF(A24="","",IFERROR(INDEX($H$6:$H$45,MATCH(LARGE($J$6:$J$45,19),$J$6:$J$45,0)),""))</f>
        <v/>
      </c>
      <c r="C24" s="12">
        <f>IF(A24="","",IFERROR(INDEX($I$6:$I$45,MATCH(LARGE($J$6:$J$45,19),$J$6:$J$45,0)),""))</f>
        <v/>
      </c>
      <c r="D24" s="12">
        <f>IF(A24="","",RANK(C24,$I$6:$I$45))</f>
        <v/>
      </c>
      <c r="G24" s="20">
        <f>IFERROR(INDEX('Nhập kết quả'!$D$40:$D$84,MATCH(19,'Nhập kết quả'!$F$40:$F$84,0)),"")</f>
        <v/>
      </c>
      <c r="H24" s="20">
        <f>IF(G24="","",IFERROR(INDEX('Nhập kết quả'!$C$40:$C$84,MATCH(G24,'Nhập kết quả'!$D$40:$D$84,0)),""))</f>
        <v/>
      </c>
      <c r="I24" s="20">
        <f>IF(G24="","",SUMIF('Nhập kết quả'!$D$40:$D$84,G24,'Nhập kết quả'!$E$40:$E$84))</f>
        <v/>
      </c>
      <c r="J24" s="15">
        <f>IF(G24="","",I24*1000-19)</f>
        <v/>
      </c>
    </row>
    <row r="25" ht="15" customHeight="1" s="31">
      <c r="A25" s="12">
        <f>IFERROR(INDEX($G$6:$G$45,MATCH(LARGE($J$6:$J$45,20),$J$6:$J$45,0)),"")</f>
        <v/>
      </c>
      <c r="B25" s="2">
        <f>IF(A25="","",IFERROR(INDEX($H$6:$H$45,MATCH(LARGE($J$6:$J$45,20),$J$6:$J$45,0)),""))</f>
        <v/>
      </c>
      <c r="C25" s="12">
        <f>IF(A25="","",IFERROR(INDEX($I$6:$I$45,MATCH(LARGE($J$6:$J$45,20),$J$6:$J$45,0)),""))</f>
        <v/>
      </c>
      <c r="D25" s="12">
        <f>IF(A25="","",RANK(C25,$I$6:$I$45))</f>
        <v/>
      </c>
      <c r="G25" s="20">
        <f>IFERROR(INDEX('Nhập kết quả'!$D$40:$D$84,MATCH(20,'Nhập kết quả'!$F$40:$F$84,0)),"")</f>
        <v/>
      </c>
      <c r="H25" s="20">
        <f>IF(G25="","",IFERROR(INDEX('Nhập kết quả'!$C$40:$C$84,MATCH(G25,'Nhập kết quả'!$D$40:$D$84,0)),""))</f>
        <v/>
      </c>
      <c r="I25" s="20">
        <f>IF(G25="","",SUMIF('Nhập kết quả'!$D$40:$D$84,G25,'Nhập kết quả'!$E$40:$E$84))</f>
        <v/>
      </c>
      <c r="J25" s="15">
        <f>IF(G25="","",I25*1000-20)</f>
        <v/>
      </c>
    </row>
    <row r="26" ht="15" customHeight="1" s="31">
      <c r="A26" s="12">
        <f>IFERROR(INDEX($G$6:$G$45,MATCH(LARGE($J$6:$J$45,21),$J$6:$J$45,0)),"")</f>
        <v/>
      </c>
      <c r="B26" s="2">
        <f>IF(A26="","",IFERROR(INDEX($H$6:$H$45,MATCH(LARGE($J$6:$J$45,21),$J$6:$J$45,0)),""))</f>
        <v/>
      </c>
      <c r="C26" s="12">
        <f>IF(A26="","",IFERROR(INDEX($I$6:$I$45,MATCH(LARGE($J$6:$J$45,21),$J$6:$J$45,0)),""))</f>
        <v/>
      </c>
      <c r="D26" s="12">
        <f>IF(A26="","",RANK(C26,$I$6:$I$45))</f>
        <v/>
      </c>
      <c r="G26" s="20">
        <f>IFERROR(INDEX('Nhập kết quả'!$D$40:$D$84,MATCH(21,'Nhập kết quả'!$F$40:$F$84,0)),"")</f>
        <v/>
      </c>
      <c r="H26" s="20">
        <f>IF(G26="","",IFERROR(INDEX('Nhập kết quả'!$C$40:$C$84,MATCH(G26,'Nhập kết quả'!$D$40:$D$84,0)),""))</f>
        <v/>
      </c>
      <c r="I26" s="20">
        <f>IF(G26="","",SUMIF('Nhập kết quả'!$D$40:$D$84,G26,'Nhập kết quả'!$E$40:$E$84))</f>
        <v/>
      </c>
      <c r="J26" s="15">
        <f>IF(G26="","",I26*1000-21)</f>
        <v/>
      </c>
    </row>
    <row r="27" ht="15" customHeight="1" s="31">
      <c r="A27" s="12">
        <f>IFERROR(INDEX($G$6:$G$45,MATCH(LARGE($J$6:$J$45,22),$J$6:$J$45,0)),"")</f>
        <v/>
      </c>
      <c r="B27" s="2">
        <f>IF(A27="","",IFERROR(INDEX($H$6:$H$45,MATCH(LARGE($J$6:$J$45,22),$J$6:$J$45,0)),""))</f>
        <v/>
      </c>
      <c r="C27" s="12">
        <f>IF(A27="","",IFERROR(INDEX($I$6:$I$45,MATCH(LARGE($J$6:$J$45,22),$J$6:$J$45,0)),""))</f>
        <v/>
      </c>
      <c r="D27" s="12">
        <f>IF(A27="","",RANK(C27,$I$6:$I$45))</f>
        <v/>
      </c>
      <c r="G27" s="20">
        <f>IFERROR(INDEX('Nhập kết quả'!$D$40:$D$84,MATCH(22,'Nhập kết quả'!$F$40:$F$84,0)),"")</f>
        <v/>
      </c>
      <c r="H27" s="20">
        <f>IF(G27="","",IFERROR(INDEX('Nhập kết quả'!$C$40:$C$84,MATCH(G27,'Nhập kết quả'!$D$40:$D$84,0)),""))</f>
        <v/>
      </c>
      <c r="I27" s="20">
        <f>IF(G27="","",SUMIF('Nhập kết quả'!$D$40:$D$84,G27,'Nhập kết quả'!$E$40:$E$84))</f>
        <v/>
      </c>
      <c r="J27" s="15">
        <f>IF(G27="","",I27*1000-22)</f>
        <v/>
      </c>
    </row>
    <row r="28" ht="15" customHeight="1" s="31">
      <c r="A28" s="12">
        <f>IFERROR(INDEX($G$6:$G$45,MATCH(LARGE($J$6:$J$45,23),$J$6:$J$45,0)),"")</f>
        <v/>
      </c>
      <c r="B28" s="2">
        <f>IF(A28="","",IFERROR(INDEX($H$6:$H$45,MATCH(LARGE($J$6:$J$45,23),$J$6:$J$45,0)),""))</f>
        <v/>
      </c>
      <c r="C28" s="12">
        <f>IF(A28="","",IFERROR(INDEX($I$6:$I$45,MATCH(LARGE($J$6:$J$45,23),$J$6:$J$45,0)),""))</f>
        <v/>
      </c>
      <c r="D28" s="12">
        <f>IF(A28="","",RANK(C28,$I$6:$I$45))</f>
        <v/>
      </c>
      <c r="G28" s="20">
        <f>IFERROR(INDEX('Nhập kết quả'!$D$40:$D$84,MATCH(23,'Nhập kết quả'!$F$40:$F$84,0)),"")</f>
        <v/>
      </c>
      <c r="H28" s="20">
        <f>IF(G28="","",IFERROR(INDEX('Nhập kết quả'!$C$40:$C$84,MATCH(G28,'Nhập kết quả'!$D$40:$D$84,0)),""))</f>
        <v/>
      </c>
      <c r="I28" s="20">
        <f>IF(G28="","",SUMIF('Nhập kết quả'!$D$40:$D$84,G28,'Nhập kết quả'!$E$40:$E$84))</f>
        <v/>
      </c>
      <c r="J28" s="15">
        <f>IF(G28="","",I28*1000-23)</f>
        <v/>
      </c>
    </row>
    <row r="29" ht="15" customHeight="1" s="31">
      <c r="A29" s="12">
        <f>IFERROR(INDEX($G$6:$G$45,MATCH(LARGE($J$6:$J$45,24),$J$6:$J$45,0)),"")</f>
        <v/>
      </c>
      <c r="B29" s="2">
        <f>IF(A29="","",IFERROR(INDEX($H$6:$H$45,MATCH(LARGE($J$6:$J$45,24),$J$6:$J$45,0)),""))</f>
        <v/>
      </c>
      <c r="C29" s="12">
        <f>IF(A29="","",IFERROR(INDEX($I$6:$I$45,MATCH(LARGE($J$6:$J$45,24),$J$6:$J$45,0)),""))</f>
        <v/>
      </c>
      <c r="D29" s="12">
        <f>IF(A29="","",RANK(C29,$I$6:$I$45))</f>
        <v/>
      </c>
      <c r="G29" s="20">
        <f>IFERROR(INDEX('Nhập kết quả'!$D$40:$D$84,MATCH(24,'Nhập kết quả'!$F$40:$F$84,0)),"")</f>
        <v/>
      </c>
      <c r="H29" s="20">
        <f>IF(G29="","",IFERROR(INDEX('Nhập kết quả'!$C$40:$C$84,MATCH(G29,'Nhập kết quả'!$D$40:$D$84,0)),""))</f>
        <v/>
      </c>
      <c r="I29" s="20">
        <f>IF(G29="","",SUMIF('Nhập kết quả'!$D$40:$D$84,G29,'Nhập kết quả'!$E$40:$E$84))</f>
        <v/>
      </c>
      <c r="J29" s="15">
        <f>IF(G29="","",I29*1000-24)</f>
        <v/>
      </c>
    </row>
    <row r="30" ht="15" customHeight="1" s="31">
      <c r="A30" s="12">
        <f>IFERROR(INDEX($G$6:$G$45,MATCH(LARGE($J$6:$J$45,25),$J$6:$J$45,0)),"")</f>
        <v/>
      </c>
      <c r="B30" s="2">
        <f>IF(A30="","",IFERROR(INDEX($H$6:$H$45,MATCH(LARGE($J$6:$J$45,25),$J$6:$J$45,0)),""))</f>
        <v/>
      </c>
      <c r="C30" s="12">
        <f>IF(A30="","",IFERROR(INDEX($I$6:$I$45,MATCH(LARGE($J$6:$J$45,25),$J$6:$J$45,0)),""))</f>
        <v/>
      </c>
      <c r="D30" s="12">
        <f>IF(A30="","",RANK(C30,$I$6:$I$45))</f>
        <v/>
      </c>
      <c r="G30" s="20">
        <f>IFERROR(INDEX('Nhập kết quả'!$D$40:$D$84,MATCH(25,'Nhập kết quả'!$F$40:$F$84,0)),"")</f>
        <v/>
      </c>
      <c r="H30" s="20">
        <f>IF(G30="","",IFERROR(INDEX('Nhập kết quả'!$C$40:$C$84,MATCH(G30,'Nhập kết quả'!$D$40:$D$84,0)),""))</f>
        <v/>
      </c>
      <c r="I30" s="20">
        <f>IF(G30="","",SUMIF('Nhập kết quả'!$D$40:$D$84,G30,'Nhập kết quả'!$E$40:$E$84))</f>
        <v/>
      </c>
      <c r="J30" s="15">
        <f>IF(G30="","",I30*1000-25)</f>
        <v/>
      </c>
    </row>
    <row r="31" ht="15" customHeight="1" s="31">
      <c r="A31" s="12">
        <f>IFERROR(INDEX($G$6:$G$45,MATCH(LARGE($J$6:$J$45,26),$J$6:$J$45,0)),"")</f>
        <v/>
      </c>
      <c r="B31" s="2">
        <f>IF(A31="","",IFERROR(INDEX($H$6:$H$45,MATCH(LARGE($J$6:$J$45,26),$J$6:$J$45,0)),""))</f>
        <v/>
      </c>
      <c r="C31" s="12">
        <f>IF(A31="","",IFERROR(INDEX($I$6:$I$45,MATCH(LARGE($J$6:$J$45,26),$J$6:$J$45,0)),""))</f>
        <v/>
      </c>
      <c r="D31" s="12">
        <f>IF(A31="","",RANK(C31,$I$6:$I$45))</f>
        <v/>
      </c>
      <c r="G31" s="20">
        <f>IFERROR(INDEX('Nhập kết quả'!$D$40:$D$84,MATCH(26,'Nhập kết quả'!$F$40:$F$84,0)),"")</f>
        <v/>
      </c>
      <c r="H31" s="20">
        <f>IF(G31="","",IFERROR(INDEX('Nhập kết quả'!$C$40:$C$84,MATCH(G31,'Nhập kết quả'!$D$40:$D$84,0)),""))</f>
        <v/>
      </c>
      <c r="I31" s="20">
        <f>IF(G31="","",SUMIF('Nhập kết quả'!$D$40:$D$84,G31,'Nhập kết quả'!$E$40:$E$84))</f>
        <v/>
      </c>
      <c r="J31" s="15">
        <f>IF(G31="","",I31*1000-26)</f>
        <v/>
      </c>
    </row>
    <row r="32" ht="15" customHeight="1" s="31">
      <c r="A32" s="12">
        <f>IFERROR(INDEX($G$6:$G$45,MATCH(LARGE($J$6:$J$45,27),$J$6:$J$45,0)),"")</f>
        <v/>
      </c>
      <c r="B32" s="2">
        <f>IF(A32="","",IFERROR(INDEX($H$6:$H$45,MATCH(LARGE($J$6:$J$45,27),$J$6:$J$45,0)),""))</f>
        <v/>
      </c>
      <c r="C32" s="12">
        <f>IF(A32="","",IFERROR(INDEX($I$6:$I$45,MATCH(LARGE($J$6:$J$45,27),$J$6:$J$45,0)),""))</f>
        <v/>
      </c>
      <c r="D32" s="12">
        <f>IF(A32="","",RANK(C32,$I$6:$I$45))</f>
        <v/>
      </c>
      <c r="G32" s="20">
        <f>IFERROR(INDEX('Nhập kết quả'!$D$40:$D$84,MATCH(27,'Nhập kết quả'!$F$40:$F$84,0)),"")</f>
        <v/>
      </c>
      <c r="H32" s="20">
        <f>IF(G32="","",IFERROR(INDEX('Nhập kết quả'!$C$40:$C$84,MATCH(G32,'Nhập kết quả'!$D$40:$D$84,0)),""))</f>
        <v/>
      </c>
      <c r="I32" s="20">
        <f>IF(G32="","",SUMIF('Nhập kết quả'!$D$40:$D$84,G32,'Nhập kết quả'!$E$40:$E$84))</f>
        <v/>
      </c>
      <c r="J32" s="15">
        <f>IF(G32="","",I32*1000-27)</f>
        <v/>
      </c>
    </row>
    <row r="33" ht="15" customHeight="1" s="31">
      <c r="A33" s="12">
        <f>IFERROR(INDEX($G$6:$G$45,MATCH(LARGE($J$6:$J$45,28),$J$6:$J$45,0)),"")</f>
        <v/>
      </c>
      <c r="B33" s="2">
        <f>IF(A33="","",IFERROR(INDEX($H$6:$H$45,MATCH(LARGE($J$6:$J$45,28),$J$6:$J$45,0)),""))</f>
        <v/>
      </c>
      <c r="C33" s="12">
        <f>IF(A33="","",IFERROR(INDEX($I$6:$I$45,MATCH(LARGE($J$6:$J$45,28),$J$6:$J$45,0)),""))</f>
        <v/>
      </c>
      <c r="D33" s="12">
        <f>IF(A33="","",RANK(C33,$I$6:$I$45))</f>
        <v/>
      </c>
      <c r="G33" s="20">
        <f>IFERROR(INDEX('Nhập kết quả'!$D$40:$D$84,MATCH(28,'Nhập kết quả'!$F$40:$F$84,0)),"")</f>
        <v/>
      </c>
      <c r="H33" s="20">
        <f>IF(G33="","",IFERROR(INDEX('Nhập kết quả'!$C$40:$C$84,MATCH(G33,'Nhập kết quả'!$D$40:$D$84,0)),""))</f>
        <v/>
      </c>
      <c r="I33" s="20">
        <f>IF(G33="","",SUMIF('Nhập kết quả'!$D$40:$D$84,G33,'Nhập kết quả'!$E$40:$E$84))</f>
        <v/>
      </c>
      <c r="J33" s="15">
        <f>IF(G33="","",I33*1000-28)</f>
        <v/>
      </c>
    </row>
    <row r="34" ht="15" customHeight="1" s="31">
      <c r="A34" s="12">
        <f>IFERROR(INDEX($G$6:$G$45,MATCH(LARGE($J$6:$J$45,29),$J$6:$J$45,0)),"")</f>
        <v/>
      </c>
      <c r="B34" s="2">
        <f>IF(A34="","",IFERROR(INDEX($H$6:$H$45,MATCH(LARGE($J$6:$J$45,29),$J$6:$J$45,0)),""))</f>
        <v/>
      </c>
      <c r="C34" s="12">
        <f>IF(A34="","",IFERROR(INDEX($I$6:$I$45,MATCH(LARGE($J$6:$J$45,29),$J$6:$J$45,0)),""))</f>
        <v/>
      </c>
      <c r="D34" s="12">
        <f>IF(A34="","",RANK(C34,$I$6:$I$45))</f>
        <v/>
      </c>
      <c r="G34" s="20">
        <f>IFERROR(INDEX('Nhập kết quả'!$D$40:$D$84,MATCH(29,'Nhập kết quả'!$F$40:$F$84,0)),"")</f>
        <v/>
      </c>
      <c r="H34" s="20">
        <f>IF(G34="","",IFERROR(INDEX('Nhập kết quả'!$C$40:$C$84,MATCH(G34,'Nhập kết quả'!$D$40:$D$84,0)),""))</f>
        <v/>
      </c>
      <c r="I34" s="20">
        <f>IF(G34="","",SUMIF('Nhập kết quả'!$D$40:$D$84,G34,'Nhập kết quả'!$E$40:$E$84))</f>
        <v/>
      </c>
      <c r="J34" s="15">
        <f>IF(G34="","",I34*1000-29)</f>
        <v/>
      </c>
    </row>
    <row r="35" ht="15" customHeight="1" s="31">
      <c r="A35" s="12">
        <f>IFERROR(INDEX($G$6:$G$45,MATCH(LARGE($J$6:$J$45,30),$J$6:$J$45,0)),"")</f>
        <v/>
      </c>
      <c r="B35" s="2">
        <f>IF(A35="","",IFERROR(INDEX($H$6:$H$45,MATCH(LARGE($J$6:$J$45,30),$J$6:$J$45,0)),""))</f>
        <v/>
      </c>
      <c r="C35" s="12">
        <f>IF(A35="","",IFERROR(INDEX($I$6:$I$45,MATCH(LARGE($J$6:$J$45,30),$J$6:$J$45,0)),""))</f>
        <v/>
      </c>
      <c r="D35" s="12">
        <f>IF(A35="","",RANK(C35,$I$6:$I$45))</f>
        <v/>
      </c>
      <c r="G35" s="20">
        <f>IFERROR(INDEX('Nhập kết quả'!$D$40:$D$84,MATCH(30,'Nhập kết quả'!$F$40:$F$84,0)),"")</f>
        <v/>
      </c>
      <c r="H35" s="20">
        <f>IF(G35="","",IFERROR(INDEX('Nhập kết quả'!$C$40:$C$84,MATCH(G35,'Nhập kết quả'!$D$40:$D$84,0)),""))</f>
        <v/>
      </c>
      <c r="I35" s="20">
        <f>IF(G35="","",SUMIF('Nhập kết quả'!$D$40:$D$84,G35,'Nhập kết quả'!$E$40:$E$84))</f>
        <v/>
      </c>
      <c r="J35" s="15">
        <f>IF(G35="","",I35*1000-30)</f>
        <v/>
      </c>
    </row>
    <row r="36" ht="15" customHeight="1" s="31">
      <c r="A36" s="12">
        <f>IFERROR(INDEX($G$6:$G$45,MATCH(LARGE($J$6:$J$45,31),$J$6:$J$45,0)),"")</f>
        <v/>
      </c>
      <c r="B36" s="2">
        <f>IF(A36="","",IFERROR(INDEX($H$6:$H$45,MATCH(LARGE($J$6:$J$45,31),$J$6:$J$45,0)),""))</f>
        <v/>
      </c>
      <c r="C36" s="12">
        <f>IF(A36="","",IFERROR(INDEX($I$6:$I$45,MATCH(LARGE($J$6:$J$45,31),$J$6:$J$45,0)),""))</f>
        <v/>
      </c>
      <c r="D36" s="12">
        <f>IF(A36="","",RANK(C36,$I$6:$I$45))</f>
        <v/>
      </c>
      <c r="G36" s="20">
        <f>IFERROR(INDEX('Nhập kết quả'!$D$40:$D$84,MATCH(31,'Nhập kết quả'!$F$40:$F$84,0)),"")</f>
        <v/>
      </c>
      <c r="H36" s="20">
        <f>IF(G36="","",IFERROR(INDEX('Nhập kết quả'!$C$40:$C$84,MATCH(G36,'Nhập kết quả'!$D$40:$D$84,0)),""))</f>
        <v/>
      </c>
      <c r="I36" s="20">
        <f>IF(G36="","",SUMIF('Nhập kết quả'!$D$40:$D$84,G36,'Nhập kết quả'!$E$40:$E$84))</f>
        <v/>
      </c>
      <c r="J36" s="15">
        <f>IF(G36="","",I36*1000-31)</f>
        <v/>
      </c>
    </row>
    <row r="37" ht="15" customHeight="1" s="31">
      <c r="A37" s="12">
        <f>IFERROR(INDEX($G$6:$G$45,MATCH(LARGE($J$6:$J$45,32),$J$6:$J$45,0)),"")</f>
        <v/>
      </c>
      <c r="B37" s="2">
        <f>IF(A37="","",IFERROR(INDEX($H$6:$H$45,MATCH(LARGE($J$6:$J$45,32),$J$6:$J$45,0)),""))</f>
        <v/>
      </c>
      <c r="C37" s="12">
        <f>IF(A37="","",IFERROR(INDEX($I$6:$I$45,MATCH(LARGE($J$6:$J$45,32),$J$6:$J$45,0)),""))</f>
        <v/>
      </c>
      <c r="D37" s="12">
        <f>IF(A37="","",RANK(C37,$I$6:$I$45))</f>
        <v/>
      </c>
      <c r="G37" s="20">
        <f>IFERROR(INDEX('Nhập kết quả'!$D$40:$D$84,MATCH(32,'Nhập kết quả'!$F$40:$F$84,0)),"")</f>
        <v/>
      </c>
      <c r="H37" s="20">
        <f>IF(G37="","",IFERROR(INDEX('Nhập kết quả'!$C$40:$C$84,MATCH(G37,'Nhập kết quả'!$D$40:$D$84,0)),""))</f>
        <v/>
      </c>
      <c r="I37" s="20">
        <f>IF(G37="","",SUMIF('Nhập kết quả'!$D$40:$D$84,G37,'Nhập kết quả'!$E$40:$E$84))</f>
        <v/>
      </c>
      <c r="J37" s="15">
        <f>IF(G37="","",I37*1000-32)</f>
        <v/>
      </c>
    </row>
    <row r="38" ht="15" customHeight="1" s="31">
      <c r="A38" s="12">
        <f>IFERROR(INDEX($G$6:$G$45,MATCH(LARGE($J$6:$J$45,33),$J$6:$J$45,0)),"")</f>
        <v/>
      </c>
      <c r="B38" s="2">
        <f>IF(A38="","",IFERROR(INDEX($H$6:$H$45,MATCH(LARGE($J$6:$J$45,33),$J$6:$J$45,0)),""))</f>
        <v/>
      </c>
      <c r="C38" s="12">
        <f>IF(A38="","",IFERROR(INDEX($I$6:$I$45,MATCH(LARGE($J$6:$J$45,33),$J$6:$J$45,0)),""))</f>
        <v/>
      </c>
      <c r="D38" s="12">
        <f>IF(A38="","",RANK(C38,$I$6:$I$45))</f>
        <v/>
      </c>
      <c r="G38" s="20">
        <f>IFERROR(INDEX('Nhập kết quả'!$D$40:$D$84,MATCH(33,'Nhập kết quả'!$F$40:$F$84,0)),"")</f>
        <v/>
      </c>
      <c r="H38" s="20">
        <f>IF(G38="","",IFERROR(INDEX('Nhập kết quả'!$C$40:$C$84,MATCH(G38,'Nhập kết quả'!$D$40:$D$84,0)),""))</f>
        <v/>
      </c>
      <c r="I38" s="20">
        <f>IF(G38="","",SUMIF('Nhập kết quả'!$D$40:$D$84,G38,'Nhập kết quả'!$E$40:$E$84))</f>
        <v/>
      </c>
      <c r="J38" s="15">
        <f>IF(G38="","",I38*1000-33)</f>
        <v/>
      </c>
    </row>
    <row r="39" ht="15" customHeight="1" s="31">
      <c r="A39" s="12">
        <f>IFERROR(INDEX($G$6:$G$45,MATCH(LARGE($J$6:$J$45,34),$J$6:$J$45,0)),"")</f>
        <v/>
      </c>
      <c r="B39" s="2">
        <f>IF(A39="","",IFERROR(INDEX($H$6:$H$45,MATCH(LARGE($J$6:$J$45,34),$J$6:$J$45,0)),""))</f>
        <v/>
      </c>
      <c r="C39" s="12">
        <f>IF(A39="","",IFERROR(INDEX($I$6:$I$45,MATCH(LARGE($J$6:$J$45,34),$J$6:$J$45,0)),""))</f>
        <v/>
      </c>
      <c r="D39" s="12">
        <f>IF(A39="","",RANK(C39,$I$6:$I$45))</f>
        <v/>
      </c>
      <c r="G39" s="20">
        <f>IFERROR(INDEX('Nhập kết quả'!$D$40:$D$84,MATCH(34,'Nhập kết quả'!$F$40:$F$84,0)),"")</f>
        <v/>
      </c>
      <c r="H39" s="20">
        <f>IF(G39="","",IFERROR(INDEX('Nhập kết quả'!$C$40:$C$84,MATCH(G39,'Nhập kết quả'!$D$40:$D$84,0)),""))</f>
        <v/>
      </c>
      <c r="I39" s="20">
        <f>IF(G39="","",SUMIF('Nhập kết quả'!$D$40:$D$84,G39,'Nhập kết quả'!$E$40:$E$84))</f>
        <v/>
      </c>
      <c r="J39" s="15">
        <f>IF(G39="","",I39*1000-34)</f>
        <v/>
      </c>
    </row>
    <row r="40" ht="15" customHeight="1" s="31">
      <c r="A40" s="12">
        <f>IFERROR(INDEX($G$6:$G$45,MATCH(LARGE($J$6:$J$45,35),$J$6:$J$45,0)),"")</f>
        <v/>
      </c>
      <c r="B40" s="2">
        <f>IF(A40="","",IFERROR(INDEX($H$6:$H$45,MATCH(LARGE($J$6:$J$45,35),$J$6:$J$45,0)),""))</f>
        <v/>
      </c>
      <c r="C40" s="12">
        <f>IF(A40="","",IFERROR(INDEX($I$6:$I$45,MATCH(LARGE($J$6:$J$45,35),$J$6:$J$45,0)),""))</f>
        <v/>
      </c>
      <c r="D40" s="12">
        <f>IF(A40="","",RANK(C40,$I$6:$I$45))</f>
        <v/>
      </c>
      <c r="G40" s="20">
        <f>IFERROR(INDEX('Nhập kết quả'!$D$40:$D$84,MATCH(35,'Nhập kết quả'!$F$40:$F$84,0)),"")</f>
        <v/>
      </c>
      <c r="H40" s="20">
        <f>IF(G40="","",IFERROR(INDEX('Nhập kết quả'!$C$40:$C$84,MATCH(G40,'Nhập kết quả'!$D$40:$D$84,0)),""))</f>
        <v/>
      </c>
      <c r="I40" s="20">
        <f>IF(G40="","",SUMIF('Nhập kết quả'!$D$40:$D$84,G40,'Nhập kết quả'!$E$40:$E$84))</f>
        <v/>
      </c>
      <c r="J40" s="15">
        <f>IF(G40="","",I40*1000-35)</f>
        <v/>
      </c>
    </row>
    <row r="41" ht="15" customHeight="1" s="31">
      <c r="A41" s="12">
        <f>IFERROR(INDEX($G$6:$G$45,MATCH(LARGE($J$6:$J$45,36),$J$6:$J$45,0)),"")</f>
        <v/>
      </c>
      <c r="B41" s="2">
        <f>IF(A41="","",IFERROR(INDEX($H$6:$H$45,MATCH(LARGE($J$6:$J$45,36),$J$6:$J$45,0)),""))</f>
        <v/>
      </c>
      <c r="C41" s="12">
        <f>IF(A41="","",IFERROR(INDEX($I$6:$I$45,MATCH(LARGE($J$6:$J$45,36),$J$6:$J$45,0)),""))</f>
        <v/>
      </c>
      <c r="D41" s="12">
        <f>IF(A41="","",RANK(C41,$I$6:$I$45))</f>
        <v/>
      </c>
      <c r="G41" s="20">
        <f>IFERROR(INDEX('Nhập kết quả'!$D$40:$D$84,MATCH(36,'Nhập kết quả'!$F$40:$F$84,0)),"")</f>
        <v/>
      </c>
      <c r="H41" s="20">
        <f>IF(G41="","",IFERROR(INDEX('Nhập kết quả'!$C$40:$C$84,MATCH(G41,'Nhập kết quả'!$D$40:$D$84,0)),""))</f>
        <v/>
      </c>
      <c r="I41" s="20">
        <f>IF(G41="","",SUMIF('Nhập kết quả'!$D$40:$D$84,G41,'Nhập kết quả'!$E$40:$E$84))</f>
        <v/>
      </c>
      <c r="J41" s="15">
        <f>IF(G41="","",I41*1000-36)</f>
        <v/>
      </c>
    </row>
    <row r="42" ht="15" customHeight="1" s="31">
      <c r="A42" s="12">
        <f>IFERROR(INDEX($G$6:$G$45,MATCH(LARGE($J$6:$J$45,37),$J$6:$J$45,0)),"")</f>
        <v/>
      </c>
      <c r="B42" s="2">
        <f>IF(A42="","",IFERROR(INDEX($H$6:$H$45,MATCH(LARGE($J$6:$J$45,37),$J$6:$J$45,0)),""))</f>
        <v/>
      </c>
      <c r="C42" s="12">
        <f>IF(A42="","",IFERROR(INDEX($I$6:$I$45,MATCH(LARGE($J$6:$J$45,37),$J$6:$J$45,0)),""))</f>
        <v/>
      </c>
      <c r="D42" s="12">
        <f>IF(A42="","",RANK(C42,$I$6:$I$45))</f>
        <v/>
      </c>
      <c r="G42" s="20">
        <f>IFERROR(INDEX('Nhập kết quả'!$D$40:$D$84,MATCH(37,'Nhập kết quả'!$F$40:$F$84,0)),"")</f>
        <v/>
      </c>
      <c r="H42" s="20">
        <f>IF(G42="","",IFERROR(INDEX('Nhập kết quả'!$C$40:$C$84,MATCH(G42,'Nhập kết quả'!$D$40:$D$84,0)),""))</f>
        <v/>
      </c>
      <c r="I42" s="20">
        <f>IF(G42="","",SUMIF('Nhập kết quả'!$D$40:$D$84,G42,'Nhập kết quả'!$E$40:$E$84))</f>
        <v/>
      </c>
      <c r="J42" s="15">
        <f>IF(G42="","",I42*1000-37)</f>
        <v/>
      </c>
    </row>
    <row r="43" ht="15" customHeight="1" s="31">
      <c r="A43" s="12">
        <f>IFERROR(INDEX($G$6:$G$45,MATCH(LARGE($J$6:$J$45,38),$J$6:$J$45,0)),"")</f>
        <v/>
      </c>
      <c r="B43" s="2">
        <f>IF(A43="","",IFERROR(INDEX($H$6:$H$45,MATCH(LARGE($J$6:$J$45,38),$J$6:$J$45,0)),""))</f>
        <v/>
      </c>
      <c r="C43" s="12">
        <f>IF(A43="","",IFERROR(INDEX($I$6:$I$45,MATCH(LARGE($J$6:$J$45,38),$J$6:$J$45,0)),""))</f>
        <v/>
      </c>
      <c r="D43" s="12">
        <f>IF(A43="","",RANK(C43,$I$6:$I$45))</f>
        <v/>
      </c>
      <c r="G43" s="20">
        <f>IFERROR(INDEX('Nhập kết quả'!$D$40:$D$84,MATCH(38,'Nhập kết quả'!$F$40:$F$84,0)),"")</f>
        <v/>
      </c>
      <c r="H43" s="20">
        <f>IF(G43="","",IFERROR(INDEX('Nhập kết quả'!$C$40:$C$84,MATCH(G43,'Nhập kết quả'!$D$40:$D$84,0)),""))</f>
        <v/>
      </c>
      <c r="I43" s="20">
        <f>IF(G43="","",SUMIF('Nhập kết quả'!$D$40:$D$84,G43,'Nhập kết quả'!$E$40:$E$84))</f>
        <v/>
      </c>
      <c r="J43" s="15">
        <f>IF(G43="","",I43*1000-38)</f>
        <v/>
      </c>
    </row>
    <row r="44" ht="15" customHeight="1" s="31">
      <c r="A44" s="12">
        <f>IFERROR(INDEX($G$6:$G$45,MATCH(LARGE($J$6:$J$45,39),$J$6:$J$45,0)),"")</f>
        <v/>
      </c>
      <c r="B44" s="2">
        <f>IF(A44="","",IFERROR(INDEX($H$6:$H$45,MATCH(LARGE($J$6:$J$45,39),$J$6:$J$45,0)),""))</f>
        <v/>
      </c>
      <c r="C44" s="12">
        <f>IF(A44="","",IFERROR(INDEX($I$6:$I$45,MATCH(LARGE($J$6:$J$45,39),$J$6:$J$45,0)),""))</f>
        <v/>
      </c>
      <c r="D44" s="12">
        <f>IF(A44="","",RANK(C44,$I$6:$I$45))</f>
        <v/>
      </c>
      <c r="G44" s="20">
        <f>IFERROR(INDEX('Nhập kết quả'!$D$40:$D$84,MATCH(39,'Nhập kết quả'!$F$40:$F$84,0)),"")</f>
        <v/>
      </c>
      <c r="H44" s="20">
        <f>IF(G44="","",IFERROR(INDEX('Nhập kết quả'!$C$40:$C$84,MATCH(G44,'Nhập kết quả'!$D$40:$D$84,0)),""))</f>
        <v/>
      </c>
      <c r="I44" s="20">
        <f>IF(G44="","",SUMIF('Nhập kết quả'!$D$40:$D$84,G44,'Nhập kết quả'!$E$40:$E$84))</f>
        <v/>
      </c>
      <c r="J44" s="15">
        <f>IF(G44="","",I44*1000-39)</f>
        <v/>
      </c>
    </row>
    <row r="45" ht="15" customHeight="1" s="31">
      <c r="A45" s="12">
        <f>IFERROR(INDEX($G$6:$G$45,MATCH(LARGE($J$6:$J$45,40),$J$6:$J$45,0)),"")</f>
        <v/>
      </c>
      <c r="B45" s="2">
        <f>IF(A45="","",IFERROR(INDEX($H$6:$H$45,MATCH(LARGE($J$6:$J$45,40),$J$6:$J$45,0)),""))</f>
        <v/>
      </c>
      <c r="C45" s="12">
        <f>IF(A45="","",IFERROR(INDEX($I$6:$I$45,MATCH(LARGE($J$6:$J$45,40),$J$6:$J$45,0)),""))</f>
        <v/>
      </c>
      <c r="D45" s="12">
        <f>IF(A45="","",RANK(C45,$I$6:$I$45))</f>
        <v/>
      </c>
      <c r="G45" s="20">
        <f>IFERROR(INDEX('Nhập kết quả'!$D$40:$D$84,MATCH(40,'Nhập kết quả'!$F$40:$F$84,0)),"")</f>
        <v/>
      </c>
      <c r="H45" s="20">
        <f>IF(G45="","",IFERROR(INDEX('Nhập kết quả'!$C$40:$C$84,MATCH(G45,'Nhập kết quả'!$D$40:$D$84,0)),""))</f>
        <v/>
      </c>
      <c r="I45" s="20">
        <f>IF(G45="","",SUMIF('Nhập kết quả'!$D$40:$D$84,G45,'Nhập kết quả'!$E$40:$E$84))</f>
        <v/>
      </c>
      <c r="J45" s="15">
        <f>IF(G45="","",I45*1000-40)</f>
        <v/>
      </c>
    </row>
    <row r="47" ht="15" customHeight="1" s="31">
      <c r="A47" s="16" t="inlineStr">
        <is>
          <t>CẦU THỦ XUẤT SẮC NHẤT:</t>
        </is>
      </c>
      <c r="B47" s="16">
        <f>IFERROR(INDEX($A$6:$A$45,MATCH(1,$D$6:$D$45,0)),"")</f>
        <v/>
      </c>
      <c r="C47" s="16">
        <f>IFERROR(INDEX($B$6:$B$45,MATCH(1,$D$6:$D$45,0)),"")</f>
        <v/>
      </c>
    </row>
  </sheetData>
  <mergeCells count="3">
    <mergeCell ref="A1:D1"/>
    <mergeCell ref="A3:D3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7" customWidth="1" style="31" min="1" max="1"/>
    <col width="12" customWidth="1" style="31" min="2" max="2"/>
    <col width="13" customWidth="1" style="31" min="3" max="4"/>
    <col width="12" customWidth="1" style="31" min="5" max="5"/>
    <col width="15" customWidth="1" style="31" min="6" max="6"/>
    <col width="22" customWidth="1" style="31" min="7" max="7"/>
  </cols>
  <sheetData>
    <row r="1" ht="21.75" customHeight="1" s="31">
      <c r="A1" s="40" t="inlineStr">
        <is>
          <t>TỔNG ĐIỂM TOÀN ĐOÀN — SAU 3 MÔN THI ĐẤU</t>
        </is>
      </c>
    </row>
    <row r="2" ht="15" customHeight="1" s="31">
      <c r="A2" s="33" t="inlineStr">
        <is>
          <t>Bóng né &amp; Kéo co: Vòng bảng 30/10/0 – Bán kết 100/50 – Chung kết 200/100  |  VĐTT: vòng loại Thắng 100/Thua 50 + điểm Last of us (loại thứ N = N×5, vô địch = 110) cộng dồn theo đội  |  Giải phụ tách biệt, không cộng vào tổng điểm</t>
        </is>
      </c>
    </row>
    <row r="4" ht="27.75" customHeight="1" s="31">
      <c r="A4" s="1" t="inlineStr">
        <is>
          <t>Hạng</t>
        </is>
      </c>
      <c r="B4" s="1" t="inlineStr">
        <is>
          <t>Đội</t>
        </is>
      </c>
      <c r="C4" s="1" t="inlineStr">
        <is>
          <t>Điểm Bóng né</t>
        </is>
      </c>
      <c r="D4" s="1" t="inlineStr">
        <is>
          <t>Điểm Kéo co</t>
        </is>
      </c>
      <c r="E4" s="1" t="inlineStr">
        <is>
          <t>Điểm VĐTT</t>
        </is>
      </c>
      <c r="F4" s="1" t="inlineStr">
        <is>
          <t>Tổng điểm 3 môn</t>
        </is>
      </c>
      <c r="G4" s="1" t="inlineStr">
        <is>
          <t>Giải Edulympic</t>
        </is>
      </c>
    </row>
    <row r="5" ht="15" customHeight="1" s="31">
      <c r="A5" s="12">
        <f>RANK(F5,$F$5:$F$16)</f>
        <v/>
      </c>
      <c r="B5" s="11">
        <f>'Lịch thi đấu'!B6</f>
        <v/>
      </c>
      <c r="C5" s="7">
        <f>SUMIFS('Tổng kết'!$H$6:$H$29,'Tổng kết'!$A$6:$A$29,"Bóng né",'Tổng kết'!$C$6:$C$29,B5)+IF(COUNTIF('Nhập kết quả'!$I$29:$I$30,B5)&gt;0,100,0)+IF(COUNTIF('Nhập kết quả'!$J$29:$J$30,B5)&gt;0,50,0)+IF(COUNTIF('Nhập kết quả'!$I$33,B5)&gt;0,200,0)+IF(COUNTIF('Nhập kết quả'!$J$33,B5)&gt;0,100,0)</f>
        <v/>
      </c>
      <c r="D5" s="7">
        <f>SUMIFS('Tổng kết'!$H$6:$H$29,'Tổng kết'!$A$6:$A$29,"Kéo co",'Tổng kết'!$C$6:$C$29,B5)+IF(COUNTIF('Nhập kết quả'!$I$31:$I$32,B5)&gt;0,100,0)+IF(COUNTIF('Nhập kết quả'!$J$31:$J$32,B5)&gt;0,50,0)+IF(COUNTIF('Nhập kết quả'!$I$34,B5)&gt;0,200,0)+IF(COUNTIF('Nhập kết quả'!$J$34,B5)&gt;0,100,0)</f>
        <v/>
      </c>
      <c r="E5" s="7">
        <f>(IF(COUNTIF('VĐTT - Nhập KQ'!$E$5:$E$10,B5)&gt;0,100,IF(COUNTIF('VĐTT - Nhập KQ'!$F$5:$F$10,B5)&gt;0,50,0)))+SUMIF('VĐTT - Last of us'!$B$7:$B$24,B5,'VĐTT - Last of us'!$F$7:$F$24)</f>
        <v/>
      </c>
      <c r="F5" s="12">
        <f>C5+D5+E5</f>
        <v/>
      </c>
      <c r="G5" s="12">
        <f>IF(A5=1,"Nhất Edulympic (10.000.000đ)",IF(A5=2,"Nhì (5.000.000đ)",IF(A5=3,"Ba (3.000.000đ)","")))</f>
        <v/>
      </c>
    </row>
    <row r="6" ht="15" customHeight="1" s="31">
      <c r="A6" s="12">
        <f>RANK(F6,$F$5:$F$16)</f>
        <v/>
      </c>
      <c r="B6" s="11">
        <f>'Lịch thi đấu'!C6</f>
        <v/>
      </c>
      <c r="C6" s="7">
        <f>SUMIFS('Tổng kết'!$H$6:$H$29,'Tổng kết'!$A$6:$A$29,"Bóng né",'Tổng kết'!$C$6:$C$29,B6)+IF(COUNTIF('Nhập kết quả'!$I$29:$I$30,B6)&gt;0,100,0)+IF(COUNTIF('Nhập kết quả'!$J$29:$J$30,B6)&gt;0,50,0)+IF(COUNTIF('Nhập kết quả'!$I$33,B6)&gt;0,200,0)+IF(COUNTIF('Nhập kết quả'!$J$33,B6)&gt;0,100,0)</f>
        <v/>
      </c>
      <c r="D6" s="7">
        <f>SUMIFS('Tổng kết'!$H$6:$H$29,'Tổng kết'!$A$6:$A$29,"Kéo co",'Tổng kết'!$C$6:$C$29,B6)+IF(COUNTIF('Nhập kết quả'!$I$31:$I$32,B6)&gt;0,100,0)+IF(COUNTIF('Nhập kết quả'!$J$31:$J$32,B6)&gt;0,50,0)+IF(COUNTIF('Nhập kết quả'!$I$34,B6)&gt;0,200,0)+IF(COUNTIF('Nhập kết quả'!$J$34,B6)&gt;0,100,0)</f>
        <v/>
      </c>
      <c r="E6" s="7">
        <f>(IF(COUNTIF('VĐTT - Nhập KQ'!$E$5:$E$10,B6)&gt;0,100,IF(COUNTIF('VĐTT - Nhập KQ'!$F$5:$F$10,B6)&gt;0,50,0)))+SUMIF('VĐTT - Last of us'!$B$7:$B$24,B6,'VĐTT - Last of us'!$F$7:$F$24)</f>
        <v/>
      </c>
      <c r="F6" s="12">
        <f>C6+D6+E6</f>
        <v/>
      </c>
      <c r="G6" s="12">
        <f>IF(A6=1,"Nhất Edulympic (10.000.000đ)",IF(A6=2,"Nhì (5.000.000đ)",IF(A6=3,"Ba (3.000.000đ)","")))</f>
        <v/>
      </c>
    </row>
    <row r="7" ht="15" customHeight="1" s="31">
      <c r="A7" s="12">
        <f>RANK(F7,$F$5:$F$16)</f>
        <v/>
      </c>
      <c r="B7" s="11">
        <f>'Lịch thi đấu'!D6</f>
        <v/>
      </c>
      <c r="C7" s="7">
        <f>SUMIFS('Tổng kết'!$H$6:$H$29,'Tổng kết'!$A$6:$A$29,"Bóng né",'Tổng kết'!$C$6:$C$29,B7)+IF(COUNTIF('Nhập kết quả'!$I$29:$I$30,B7)&gt;0,100,0)+IF(COUNTIF('Nhập kết quả'!$J$29:$J$30,B7)&gt;0,50,0)+IF(COUNTIF('Nhập kết quả'!$I$33,B7)&gt;0,200,0)+IF(COUNTIF('Nhập kết quả'!$J$33,B7)&gt;0,100,0)</f>
        <v/>
      </c>
      <c r="D7" s="7">
        <f>SUMIFS('Tổng kết'!$H$6:$H$29,'Tổng kết'!$A$6:$A$29,"Kéo co",'Tổng kết'!$C$6:$C$29,B7)+IF(COUNTIF('Nhập kết quả'!$I$31:$I$32,B7)&gt;0,100,0)+IF(COUNTIF('Nhập kết quả'!$J$31:$J$32,B7)&gt;0,50,0)+IF(COUNTIF('Nhập kết quả'!$I$34,B7)&gt;0,200,0)+IF(COUNTIF('Nhập kết quả'!$J$34,B7)&gt;0,100,0)</f>
        <v/>
      </c>
      <c r="E7" s="7">
        <f>(IF(COUNTIF('VĐTT - Nhập KQ'!$E$5:$E$10,B7)&gt;0,100,IF(COUNTIF('VĐTT - Nhập KQ'!$F$5:$F$10,B7)&gt;0,50,0)))+SUMIF('VĐTT - Last of us'!$B$7:$B$24,B7,'VĐTT - Last of us'!$F$7:$F$24)</f>
        <v/>
      </c>
      <c r="F7" s="12">
        <f>C7+D7+E7</f>
        <v/>
      </c>
      <c r="G7" s="12">
        <f>IF(A7=1,"Nhất Edulympic (10.000.000đ)",IF(A7=2,"Nhì (5.000.000đ)",IF(A7=3,"Ba (3.000.000đ)","")))</f>
        <v/>
      </c>
    </row>
    <row r="8" ht="15" customHeight="1" s="31">
      <c r="A8" s="12">
        <f>RANK(F8,$F$5:$F$16)</f>
        <v/>
      </c>
      <c r="B8" s="11">
        <f>'Lịch thi đấu'!B7</f>
        <v/>
      </c>
      <c r="C8" s="7">
        <f>SUMIFS('Tổng kết'!$H$6:$H$29,'Tổng kết'!$A$6:$A$29,"Bóng né",'Tổng kết'!$C$6:$C$29,B8)+IF(COUNTIF('Nhập kết quả'!$I$29:$I$30,B8)&gt;0,100,0)+IF(COUNTIF('Nhập kết quả'!$J$29:$J$30,B8)&gt;0,50,0)+IF(COUNTIF('Nhập kết quả'!$I$33,B8)&gt;0,200,0)+IF(COUNTIF('Nhập kết quả'!$J$33,B8)&gt;0,100,0)</f>
        <v/>
      </c>
      <c r="D8" s="7">
        <f>SUMIFS('Tổng kết'!$H$6:$H$29,'Tổng kết'!$A$6:$A$29,"Kéo co",'Tổng kết'!$C$6:$C$29,B8)+IF(COUNTIF('Nhập kết quả'!$I$31:$I$32,B8)&gt;0,100,0)+IF(COUNTIF('Nhập kết quả'!$J$31:$J$32,B8)&gt;0,50,0)+IF(COUNTIF('Nhập kết quả'!$I$34,B8)&gt;0,200,0)+IF(COUNTIF('Nhập kết quả'!$J$34,B8)&gt;0,100,0)</f>
        <v/>
      </c>
      <c r="E8" s="7">
        <f>(IF(COUNTIF('VĐTT - Nhập KQ'!$E$5:$E$10,B8)&gt;0,100,IF(COUNTIF('VĐTT - Nhập KQ'!$F$5:$F$10,B8)&gt;0,50,0)))+SUMIF('VĐTT - Last of us'!$B$7:$B$24,B8,'VĐTT - Last of us'!$F$7:$F$24)</f>
        <v/>
      </c>
      <c r="F8" s="12">
        <f>C8+D8+E8</f>
        <v/>
      </c>
      <c r="G8" s="12">
        <f>IF(A8=1,"Nhất Edulympic (10.000.000đ)",IF(A8=2,"Nhì (5.000.000đ)",IF(A8=3,"Ba (3.000.000đ)","")))</f>
        <v/>
      </c>
    </row>
    <row r="9" ht="15" customHeight="1" s="31">
      <c r="A9" s="12">
        <f>RANK(F9,$F$5:$F$16)</f>
        <v/>
      </c>
      <c r="B9" s="11">
        <f>'Lịch thi đấu'!C7</f>
        <v/>
      </c>
      <c r="C9" s="7">
        <f>SUMIFS('Tổng kết'!$H$6:$H$29,'Tổng kết'!$A$6:$A$29,"Bóng né",'Tổng kết'!$C$6:$C$29,B9)+IF(COUNTIF('Nhập kết quả'!$I$29:$I$30,B9)&gt;0,100,0)+IF(COUNTIF('Nhập kết quả'!$J$29:$J$30,B9)&gt;0,50,0)+IF(COUNTIF('Nhập kết quả'!$I$33,B9)&gt;0,200,0)+IF(COUNTIF('Nhập kết quả'!$J$33,B9)&gt;0,100,0)</f>
        <v/>
      </c>
      <c r="D9" s="7">
        <f>SUMIFS('Tổng kết'!$H$6:$H$29,'Tổng kết'!$A$6:$A$29,"Kéo co",'Tổng kết'!$C$6:$C$29,B9)+IF(COUNTIF('Nhập kết quả'!$I$31:$I$32,B9)&gt;0,100,0)+IF(COUNTIF('Nhập kết quả'!$J$31:$J$32,B9)&gt;0,50,0)+IF(COUNTIF('Nhập kết quả'!$I$34,B9)&gt;0,200,0)+IF(COUNTIF('Nhập kết quả'!$J$34,B9)&gt;0,100,0)</f>
        <v/>
      </c>
      <c r="E9" s="7">
        <f>(IF(COUNTIF('VĐTT - Nhập KQ'!$E$5:$E$10,B9)&gt;0,100,IF(COUNTIF('VĐTT - Nhập KQ'!$F$5:$F$10,B9)&gt;0,50,0)))+SUMIF('VĐTT - Last of us'!$B$7:$B$24,B9,'VĐTT - Last of us'!$F$7:$F$24)</f>
        <v/>
      </c>
      <c r="F9" s="12">
        <f>C9+D9+E9</f>
        <v/>
      </c>
      <c r="G9" s="12">
        <f>IF(A9=1,"Nhất Edulympic (10.000.000đ)",IF(A9=2,"Nhì (5.000.000đ)",IF(A9=3,"Ba (3.000.000đ)","")))</f>
        <v/>
      </c>
    </row>
    <row r="10" ht="15" customHeight="1" s="31">
      <c r="A10" s="12">
        <f>RANK(F10,$F$5:$F$16)</f>
        <v/>
      </c>
      <c r="B10" s="11">
        <f>'Lịch thi đấu'!D7</f>
        <v/>
      </c>
      <c r="C10" s="7">
        <f>SUMIFS('Tổng kết'!$H$6:$H$29,'Tổng kết'!$A$6:$A$29,"Bóng né",'Tổng kết'!$C$6:$C$29,B10)+IF(COUNTIF('Nhập kết quả'!$I$29:$I$30,B10)&gt;0,100,0)+IF(COUNTIF('Nhập kết quả'!$J$29:$J$30,B10)&gt;0,50,0)+IF(COUNTIF('Nhập kết quả'!$I$33,B10)&gt;0,200,0)+IF(COUNTIF('Nhập kết quả'!$J$33,B10)&gt;0,100,0)</f>
        <v/>
      </c>
      <c r="D10" s="7">
        <f>SUMIFS('Tổng kết'!$H$6:$H$29,'Tổng kết'!$A$6:$A$29,"Kéo co",'Tổng kết'!$C$6:$C$29,B10)+IF(COUNTIF('Nhập kết quả'!$I$31:$I$32,B10)&gt;0,100,0)+IF(COUNTIF('Nhập kết quả'!$J$31:$J$32,B10)&gt;0,50,0)+IF(COUNTIF('Nhập kết quả'!$I$34,B10)&gt;0,200,0)+IF(COUNTIF('Nhập kết quả'!$J$34,B10)&gt;0,100,0)</f>
        <v/>
      </c>
      <c r="E10" s="7">
        <f>(IF(COUNTIF('VĐTT - Nhập KQ'!$E$5:$E$10,B10)&gt;0,100,IF(COUNTIF('VĐTT - Nhập KQ'!$F$5:$F$10,B10)&gt;0,50,0)))+SUMIF('VĐTT - Last of us'!$B$7:$B$24,B10,'VĐTT - Last of us'!$F$7:$F$24)</f>
        <v/>
      </c>
      <c r="F10" s="12">
        <f>C10+D10+E10</f>
        <v/>
      </c>
      <c r="G10" s="12">
        <f>IF(A10=1,"Nhất Edulympic (10.000.000đ)",IF(A10=2,"Nhì (5.000.000đ)",IF(A10=3,"Ba (3.000.000đ)","")))</f>
        <v/>
      </c>
    </row>
    <row r="11" ht="15" customHeight="1" s="31">
      <c r="A11" s="12">
        <f>RANK(F11,$F$5:$F$16)</f>
        <v/>
      </c>
      <c r="B11" s="11">
        <f>'Lịch thi đấu'!B8</f>
        <v/>
      </c>
      <c r="C11" s="7">
        <f>SUMIFS('Tổng kết'!$H$6:$H$29,'Tổng kết'!$A$6:$A$29,"Bóng né",'Tổng kết'!$C$6:$C$29,B11)+IF(COUNTIF('Nhập kết quả'!$I$29:$I$30,B11)&gt;0,100,0)+IF(COUNTIF('Nhập kết quả'!$J$29:$J$30,B11)&gt;0,50,0)+IF(COUNTIF('Nhập kết quả'!$I$33,B11)&gt;0,200,0)+IF(COUNTIF('Nhập kết quả'!$J$33,B11)&gt;0,100,0)</f>
        <v/>
      </c>
      <c r="D11" s="7">
        <f>SUMIFS('Tổng kết'!$H$6:$H$29,'Tổng kết'!$A$6:$A$29,"Kéo co",'Tổng kết'!$C$6:$C$29,B11)+IF(COUNTIF('Nhập kết quả'!$I$31:$I$32,B11)&gt;0,100,0)+IF(COUNTIF('Nhập kết quả'!$J$31:$J$32,B11)&gt;0,50,0)+IF(COUNTIF('Nhập kết quả'!$I$34,B11)&gt;0,200,0)+IF(COUNTIF('Nhập kết quả'!$J$34,B11)&gt;0,100,0)</f>
        <v/>
      </c>
      <c r="E11" s="7">
        <f>(IF(COUNTIF('VĐTT - Nhập KQ'!$E$5:$E$10,B11)&gt;0,100,IF(COUNTIF('VĐTT - Nhập KQ'!$F$5:$F$10,B11)&gt;0,50,0)))+SUMIF('VĐTT - Last of us'!$B$7:$B$24,B11,'VĐTT - Last of us'!$F$7:$F$24)</f>
        <v/>
      </c>
      <c r="F11" s="12">
        <f>C11+D11+E11</f>
        <v/>
      </c>
      <c r="G11" s="12">
        <f>IF(A11=1,"Nhất Edulympic (10.000.000đ)",IF(A11=2,"Nhì (5.000.000đ)",IF(A11=3,"Ba (3.000.000đ)","")))</f>
        <v/>
      </c>
    </row>
    <row r="12" ht="15" customHeight="1" s="31">
      <c r="A12" s="12">
        <f>RANK(F12,$F$5:$F$16)</f>
        <v/>
      </c>
      <c r="B12" s="11">
        <f>'Lịch thi đấu'!C8</f>
        <v/>
      </c>
      <c r="C12" s="7">
        <f>SUMIFS('Tổng kết'!$H$6:$H$29,'Tổng kết'!$A$6:$A$29,"Bóng né",'Tổng kết'!$C$6:$C$29,B12)+IF(COUNTIF('Nhập kết quả'!$I$29:$I$30,B12)&gt;0,100,0)+IF(COUNTIF('Nhập kết quả'!$J$29:$J$30,B12)&gt;0,50,0)+IF(COUNTIF('Nhập kết quả'!$I$33,B12)&gt;0,200,0)+IF(COUNTIF('Nhập kết quả'!$J$33,B12)&gt;0,100,0)</f>
        <v/>
      </c>
      <c r="D12" s="7">
        <f>SUMIFS('Tổng kết'!$H$6:$H$29,'Tổng kết'!$A$6:$A$29,"Kéo co",'Tổng kết'!$C$6:$C$29,B12)+IF(COUNTIF('Nhập kết quả'!$I$31:$I$32,B12)&gt;0,100,0)+IF(COUNTIF('Nhập kết quả'!$J$31:$J$32,B12)&gt;0,50,0)+IF(COUNTIF('Nhập kết quả'!$I$34,B12)&gt;0,200,0)+IF(COUNTIF('Nhập kết quả'!$J$34,B12)&gt;0,100,0)</f>
        <v/>
      </c>
      <c r="E12" s="7">
        <f>(IF(COUNTIF('VĐTT - Nhập KQ'!$E$5:$E$10,B12)&gt;0,100,IF(COUNTIF('VĐTT - Nhập KQ'!$F$5:$F$10,B12)&gt;0,50,0)))+SUMIF('VĐTT - Last of us'!$B$7:$B$24,B12,'VĐTT - Last of us'!$F$7:$F$24)</f>
        <v/>
      </c>
      <c r="F12" s="12">
        <f>C12+D12+E12</f>
        <v/>
      </c>
      <c r="G12" s="12">
        <f>IF(A12=1,"Nhất Edulympic (10.000.000đ)",IF(A12=2,"Nhì (5.000.000đ)",IF(A12=3,"Ba (3.000.000đ)","")))</f>
        <v/>
      </c>
    </row>
    <row r="13" ht="15" customHeight="1" s="31">
      <c r="A13" s="12">
        <f>RANK(F13,$F$5:$F$16)</f>
        <v/>
      </c>
      <c r="B13" s="11">
        <f>'Lịch thi đấu'!D8</f>
        <v/>
      </c>
      <c r="C13" s="7">
        <f>SUMIFS('Tổng kết'!$H$6:$H$29,'Tổng kết'!$A$6:$A$29,"Bóng né",'Tổng kết'!$C$6:$C$29,B13)+IF(COUNTIF('Nhập kết quả'!$I$29:$I$30,B13)&gt;0,100,0)+IF(COUNTIF('Nhập kết quả'!$J$29:$J$30,B13)&gt;0,50,0)+IF(COUNTIF('Nhập kết quả'!$I$33,B13)&gt;0,200,0)+IF(COUNTIF('Nhập kết quả'!$J$33,B13)&gt;0,100,0)</f>
        <v/>
      </c>
      <c r="D13" s="7">
        <f>SUMIFS('Tổng kết'!$H$6:$H$29,'Tổng kết'!$A$6:$A$29,"Kéo co",'Tổng kết'!$C$6:$C$29,B13)+IF(COUNTIF('Nhập kết quả'!$I$31:$I$32,B13)&gt;0,100,0)+IF(COUNTIF('Nhập kết quả'!$J$31:$J$32,B13)&gt;0,50,0)+IF(COUNTIF('Nhập kết quả'!$I$34,B13)&gt;0,200,0)+IF(COUNTIF('Nhập kết quả'!$J$34,B13)&gt;0,100,0)</f>
        <v/>
      </c>
      <c r="E13" s="7">
        <f>(IF(COUNTIF('VĐTT - Nhập KQ'!$E$5:$E$10,B13)&gt;0,100,IF(COUNTIF('VĐTT - Nhập KQ'!$F$5:$F$10,B13)&gt;0,50,0)))+SUMIF('VĐTT - Last of us'!$B$7:$B$24,B13,'VĐTT - Last of us'!$F$7:$F$24)</f>
        <v/>
      </c>
      <c r="F13" s="12">
        <f>C13+D13+E13</f>
        <v/>
      </c>
      <c r="G13" s="12">
        <f>IF(A13=1,"Nhất Edulympic (10.000.000đ)",IF(A13=2,"Nhì (5.000.000đ)",IF(A13=3,"Ba (3.000.000đ)","")))</f>
        <v/>
      </c>
    </row>
    <row r="14" ht="15" customHeight="1" s="31">
      <c r="A14" s="12">
        <f>RANK(F14,$F$5:$F$16)</f>
        <v/>
      </c>
      <c r="B14" s="11">
        <f>'Lịch thi đấu'!B9</f>
        <v/>
      </c>
      <c r="C14" s="7">
        <f>SUMIFS('Tổng kết'!$H$6:$H$29,'Tổng kết'!$A$6:$A$29,"Bóng né",'Tổng kết'!$C$6:$C$29,B14)+IF(COUNTIF('Nhập kết quả'!$I$29:$I$30,B14)&gt;0,100,0)+IF(COUNTIF('Nhập kết quả'!$J$29:$J$30,B14)&gt;0,50,0)+IF(COUNTIF('Nhập kết quả'!$I$33,B14)&gt;0,200,0)+IF(COUNTIF('Nhập kết quả'!$J$33,B14)&gt;0,100,0)</f>
        <v/>
      </c>
      <c r="D14" s="7">
        <f>SUMIFS('Tổng kết'!$H$6:$H$29,'Tổng kết'!$A$6:$A$29,"Kéo co",'Tổng kết'!$C$6:$C$29,B14)+IF(COUNTIF('Nhập kết quả'!$I$31:$I$32,B14)&gt;0,100,0)+IF(COUNTIF('Nhập kết quả'!$J$31:$J$32,B14)&gt;0,50,0)+IF(COUNTIF('Nhập kết quả'!$I$34,B14)&gt;0,200,0)+IF(COUNTIF('Nhập kết quả'!$J$34,B14)&gt;0,100,0)</f>
        <v/>
      </c>
      <c r="E14" s="7">
        <f>(IF(COUNTIF('VĐTT - Nhập KQ'!$E$5:$E$10,B14)&gt;0,100,IF(COUNTIF('VĐTT - Nhập KQ'!$F$5:$F$10,B14)&gt;0,50,0)))+SUMIF('VĐTT - Last of us'!$B$7:$B$24,B14,'VĐTT - Last of us'!$F$7:$F$24)</f>
        <v/>
      </c>
      <c r="F14" s="12">
        <f>C14+D14+E14</f>
        <v/>
      </c>
      <c r="G14" s="12">
        <f>IF(A14=1,"Nhất Edulympic (10.000.000đ)",IF(A14=2,"Nhì (5.000.000đ)",IF(A14=3,"Ba (3.000.000đ)","")))</f>
        <v/>
      </c>
    </row>
    <row r="15" ht="15" customHeight="1" s="31">
      <c r="A15" s="12">
        <f>RANK(F15,$F$5:$F$16)</f>
        <v/>
      </c>
      <c r="B15" s="11">
        <f>'Lịch thi đấu'!C9</f>
        <v/>
      </c>
      <c r="C15" s="7">
        <f>SUMIFS('Tổng kết'!$H$6:$H$29,'Tổng kết'!$A$6:$A$29,"Bóng né",'Tổng kết'!$C$6:$C$29,B15)+IF(COUNTIF('Nhập kết quả'!$I$29:$I$30,B15)&gt;0,100,0)+IF(COUNTIF('Nhập kết quả'!$J$29:$J$30,B15)&gt;0,50,0)+IF(COUNTIF('Nhập kết quả'!$I$33,B15)&gt;0,200,0)+IF(COUNTIF('Nhập kết quả'!$J$33,B15)&gt;0,100,0)</f>
        <v/>
      </c>
      <c r="D15" s="7">
        <f>SUMIFS('Tổng kết'!$H$6:$H$29,'Tổng kết'!$A$6:$A$29,"Kéo co",'Tổng kết'!$C$6:$C$29,B15)+IF(COUNTIF('Nhập kết quả'!$I$31:$I$32,B15)&gt;0,100,0)+IF(COUNTIF('Nhập kết quả'!$J$31:$J$32,B15)&gt;0,50,0)+IF(COUNTIF('Nhập kết quả'!$I$34,B15)&gt;0,200,0)+IF(COUNTIF('Nhập kết quả'!$J$34,B15)&gt;0,100,0)</f>
        <v/>
      </c>
      <c r="E15" s="7">
        <f>(IF(COUNTIF('VĐTT - Nhập KQ'!$E$5:$E$10,B15)&gt;0,100,IF(COUNTIF('VĐTT - Nhập KQ'!$F$5:$F$10,B15)&gt;0,50,0)))+SUMIF('VĐTT - Last of us'!$B$7:$B$24,B15,'VĐTT - Last of us'!$F$7:$F$24)</f>
        <v/>
      </c>
      <c r="F15" s="12">
        <f>C15+D15+E15</f>
        <v/>
      </c>
      <c r="G15" s="12">
        <f>IF(A15=1,"Nhất Edulympic (10.000.000đ)",IF(A15=2,"Nhì (5.000.000đ)",IF(A15=3,"Ba (3.000.000đ)","")))</f>
        <v/>
      </c>
    </row>
    <row r="16" ht="15" customHeight="1" s="31">
      <c r="A16" s="12">
        <f>RANK(F16,$F$5:$F$16)</f>
        <v/>
      </c>
      <c r="B16" s="11">
        <f>'Lịch thi đấu'!D9</f>
        <v/>
      </c>
      <c r="C16" s="7">
        <f>SUMIFS('Tổng kết'!$H$6:$H$29,'Tổng kết'!$A$6:$A$29,"Bóng né",'Tổng kết'!$C$6:$C$29,B16)+IF(COUNTIF('Nhập kết quả'!$I$29:$I$30,B16)&gt;0,100,0)+IF(COUNTIF('Nhập kết quả'!$J$29:$J$30,B16)&gt;0,50,0)+IF(COUNTIF('Nhập kết quả'!$I$33,B16)&gt;0,200,0)+IF(COUNTIF('Nhập kết quả'!$J$33,B16)&gt;0,100,0)</f>
        <v/>
      </c>
      <c r="D16" s="7">
        <f>SUMIFS('Tổng kết'!$H$6:$H$29,'Tổng kết'!$A$6:$A$29,"Kéo co",'Tổng kết'!$C$6:$C$29,B16)+IF(COUNTIF('Nhập kết quả'!$I$31:$I$32,B16)&gt;0,100,0)+IF(COUNTIF('Nhập kết quả'!$J$31:$J$32,B16)&gt;0,50,0)+IF(COUNTIF('Nhập kết quả'!$I$34,B16)&gt;0,200,0)+IF(COUNTIF('Nhập kết quả'!$J$34,B16)&gt;0,100,0)</f>
        <v/>
      </c>
      <c r="E16" s="7">
        <f>(IF(COUNTIF('VĐTT - Nhập KQ'!$E$5:$E$10,B16)&gt;0,100,IF(COUNTIF('VĐTT - Nhập KQ'!$F$5:$F$10,B16)&gt;0,50,0)))+SUMIF('VĐTT - Last of us'!$B$7:$B$24,B16,'VĐTT - Last of us'!$F$7:$F$24)</f>
        <v/>
      </c>
      <c r="F16" s="12">
        <f>C16+D16+E16</f>
        <v/>
      </c>
      <c r="G16" s="12">
        <f>IF(A16=1,"Nhất Edulympic (10.000.000đ)",IF(A16=2,"Nhì (5.000.000đ)",IF(A16=3,"Ba (3.000.000đ)","")))</f>
        <v/>
      </c>
    </row>
  </sheetData>
  <mergeCells count="2">
    <mergeCell ref="A2:G2"/>
    <mergeCell ref="A1:G1"/>
  </mergeCells>
  <conditionalFormatting sqref="A5:G16">
    <cfRule type="expression" priority="2" dxfId="2">
      <formula>$A5=1</formula>
    </cfRule>
    <cfRule type="expression" priority="3" dxfId="1">
      <formula>$A5=2</formula>
    </cfRule>
    <cfRule type="expression" priority="4" dxfId="0">
      <formula>$A5=3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zoomScaleNormal="100" workbookViewId="0">
      <pane ySplit="6" topLeftCell="A7" activePane="bottomLeft" state="frozen"/>
      <selection pane="bottomLeft" activeCell="A1" sqref="A1"/>
    </sheetView>
  </sheetViews>
  <sheetFormatPr baseColWidth="8" defaultColWidth="8.7109375" defaultRowHeight="15"/>
  <cols>
    <col width="5" customWidth="1" style="31" min="1" max="1"/>
    <col width="12" customWidth="1" style="31" min="2" max="2"/>
    <col width="18" customWidth="1" style="31" min="3" max="3"/>
    <col width="16" customWidth="1" style="31" min="4" max="4"/>
    <col width="14" customWidth="1" style="31" min="5" max="5"/>
    <col width="8" customWidth="1" style="31" min="6" max="6"/>
    <col width="24" customWidth="1" style="31" min="7" max="7"/>
  </cols>
  <sheetData>
    <row r="1" ht="19.5" customHeight="1" s="31">
      <c r="A1" s="30" t="inlineStr">
        <is>
          <t>VŨ ĐÀI TRÍ TUỆ — VÒNG CHUNG KẾT "THE LAST OF US"</t>
        </is>
      </c>
    </row>
    <row r="2" ht="15" customHeight="1" s="31">
      <c r="A2" s="33" t="inlineStr">
        <is>
          <t>18 người chơi (3 người/đội × 6 đội thắng vòng loại). Mỗi lượt trả lời sai bị loại — nhập đúng "Thứ tự bị loại" (1 = bị loại đầu tiên). Người không bao giờ bị loại (để trống) là nhà vô địch.</t>
        </is>
      </c>
    </row>
    <row r="3" ht="15" customHeight="1" s="31">
      <c r="A3" s="36" t="inlineStr">
        <is>
          <t>Có thể dùng Thẻ Hy sinh / Thẻ Niềm tin / Thẻ Lựa chọn — ghi chú lại ở cột "Ghi chú" nếu ảnh hưởng đến thứ tự bị loại.</t>
        </is>
      </c>
    </row>
    <row r="4" ht="15" customHeight="1" s="31">
      <c r="A4" s="36" t="inlineStr">
        <is>
          <t>Cách tính điểm: bị loại thứ N → N × 5 điểm (loại đầu +5, loại nhì +10, loại ba +15...). Người ở lại cuối cùng: (18 × 5) + 20 = 110 điểm.</t>
        </is>
      </c>
    </row>
    <row r="6" ht="31.5" customHeight="1" s="31">
      <c r="A6" s="1" t="inlineStr">
        <is>
          <t>STT</t>
        </is>
      </c>
      <c r="B6" s="1" t="inlineStr">
        <is>
          <t>Đội</t>
        </is>
      </c>
      <c r="C6" s="1" t="inlineStr">
        <is>
          <t>Tên thành viên</t>
        </is>
      </c>
      <c r="D6" s="1" t="inlineStr">
        <is>
          <t>Thứ tự bị loại
(để trống nếu vô địch)</t>
        </is>
      </c>
      <c r="E6" s="1" t="inlineStr">
        <is>
          <t>Hạng chung cuộc</t>
        </is>
      </c>
      <c r="F6" s="1" t="inlineStr">
        <is>
          <t>Điểm</t>
        </is>
      </c>
      <c r="G6" s="1" t="inlineStr">
        <is>
          <t>Ghi chú (thẻ đã dùng)</t>
        </is>
      </c>
    </row>
    <row r="7" ht="15" customHeight="1" s="31">
      <c r="A7" s="2" t="n">
        <v>1</v>
      </c>
      <c r="B7" s="7">
        <f>'VĐTT - Nhập KQ'!E5</f>
        <v/>
      </c>
      <c r="C7" s="28">
        <f>'VĐTT - Nhập KQ'!J5</f>
        <v/>
      </c>
      <c r="D7" s="9" t="n"/>
      <c r="E7" s="12">
        <f>IF(D7="",1,19-D7)</f>
        <v/>
      </c>
      <c r="F7" s="12">
        <f>IF(D7="",18*5+20,D7*5)</f>
        <v/>
      </c>
      <c r="G7" s="13" t="n"/>
    </row>
    <row r="8" ht="15" customHeight="1" s="31">
      <c r="A8" s="2" t="n">
        <v>2</v>
      </c>
      <c r="B8" s="7">
        <f>'VĐTT - Nhập KQ'!E5</f>
        <v/>
      </c>
      <c r="C8" s="28">
        <f>'VĐTT - Nhập KQ'!K5</f>
        <v/>
      </c>
      <c r="D8" s="9" t="n"/>
      <c r="E8" s="12">
        <f>IF(D8="",1,19-D8)</f>
        <v/>
      </c>
      <c r="F8" s="12">
        <f>IF(D8="",18*5+20,D8*5)</f>
        <v/>
      </c>
      <c r="G8" s="13" t="n"/>
    </row>
    <row r="9" ht="15" customHeight="1" s="31">
      <c r="A9" s="2" t="n">
        <v>3</v>
      </c>
      <c r="B9" s="7">
        <f>'VĐTT - Nhập KQ'!E5</f>
        <v/>
      </c>
      <c r="C9" s="28">
        <f>'VĐTT - Nhập KQ'!L5</f>
        <v/>
      </c>
      <c r="D9" s="9" t="n"/>
      <c r="E9" s="12">
        <f>IF(D9="",1,19-D9)</f>
        <v/>
      </c>
      <c r="F9" s="12">
        <f>IF(D9="",18*5+20,D9*5)</f>
        <v/>
      </c>
      <c r="G9" s="13" t="n"/>
    </row>
    <row r="10" ht="15" customHeight="1" s="31">
      <c r="A10" s="2" t="n">
        <v>4</v>
      </c>
      <c r="B10" s="7">
        <f>'VĐTT - Nhập KQ'!E6</f>
        <v/>
      </c>
      <c r="C10" s="28">
        <f>'VĐTT - Nhập KQ'!J6</f>
        <v/>
      </c>
      <c r="D10" s="9" t="n"/>
      <c r="E10" s="12">
        <f>IF(D10="",1,19-D10)</f>
        <v/>
      </c>
      <c r="F10" s="12">
        <f>IF(D10="",18*5+20,D10*5)</f>
        <v/>
      </c>
      <c r="G10" s="13" t="n"/>
    </row>
    <row r="11" ht="15" customHeight="1" s="31">
      <c r="A11" s="2" t="n">
        <v>5</v>
      </c>
      <c r="B11" s="7">
        <f>'VĐTT - Nhập KQ'!E6</f>
        <v/>
      </c>
      <c r="C11" s="28">
        <f>'VĐTT - Nhập KQ'!K6</f>
        <v/>
      </c>
      <c r="D11" s="9" t="n"/>
      <c r="E11" s="12">
        <f>IF(D11="",1,19-D11)</f>
        <v/>
      </c>
      <c r="F11" s="12">
        <f>IF(D11="",18*5+20,D11*5)</f>
        <v/>
      </c>
      <c r="G11" s="13" t="n"/>
    </row>
    <row r="12" ht="15" customHeight="1" s="31">
      <c r="A12" s="2" t="n">
        <v>6</v>
      </c>
      <c r="B12" s="7">
        <f>'VĐTT - Nhập KQ'!E6</f>
        <v/>
      </c>
      <c r="C12" s="28">
        <f>'VĐTT - Nhập KQ'!L6</f>
        <v/>
      </c>
      <c r="D12" s="9" t="n"/>
      <c r="E12" s="12">
        <f>IF(D12="",1,19-D12)</f>
        <v/>
      </c>
      <c r="F12" s="12">
        <f>IF(D12="",18*5+20,D12*5)</f>
        <v/>
      </c>
      <c r="G12" s="13" t="n"/>
    </row>
    <row r="13" ht="15" customHeight="1" s="31">
      <c r="A13" s="2" t="n">
        <v>7</v>
      </c>
      <c r="B13" s="7">
        <f>'VĐTT - Nhập KQ'!E7</f>
        <v/>
      </c>
      <c r="C13" s="28">
        <f>'VĐTT - Nhập KQ'!J7</f>
        <v/>
      </c>
      <c r="D13" s="9" t="n"/>
      <c r="E13" s="12">
        <f>IF(D13="",1,19-D13)</f>
        <v/>
      </c>
      <c r="F13" s="12">
        <f>IF(D13="",18*5+20,D13*5)</f>
        <v/>
      </c>
      <c r="G13" s="13" t="n"/>
    </row>
    <row r="14" ht="15" customHeight="1" s="31">
      <c r="A14" s="2" t="n">
        <v>8</v>
      </c>
      <c r="B14" s="7">
        <f>'VĐTT - Nhập KQ'!E7</f>
        <v/>
      </c>
      <c r="C14" s="28">
        <f>'VĐTT - Nhập KQ'!K7</f>
        <v/>
      </c>
      <c r="D14" s="9" t="n"/>
      <c r="E14" s="12">
        <f>IF(D14="",1,19-D14)</f>
        <v/>
      </c>
      <c r="F14" s="12">
        <f>IF(D14="",18*5+20,D14*5)</f>
        <v/>
      </c>
      <c r="G14" s="13" t="n"/>
    </row>
    <row r="15" ht="15" customHeight="1" s="31">
      <c r="A15" s="2" t="n">
        <v>9</v>
      </c>
      <c r="B15" s="7">
        <f>'VĐTT - Nhập KQ'!E7</f>
        <v/>
      </c>
      <c r="C15" s="28">
        <f>'VĐTT - Nhập KQ'!L7</f>
        <v/>
      </c>
      <c r="D15" s="9" t="n"/>
      <c r="E15" s="12">
        <f>IF(D15="",1,19-D15)</f>
        <v/>
      </c>
      <c r="F15" s="12">
        <f>IF(D15="",18*5+20,D15*5)</f>
        <v/>
      </c>
      <c r="G15" s="13" t="n"/>
    </row>
    <row r="16" ht="15" customHeight="1" s="31">
      <c r="A16" s="2" t="n">
        <v>10</v>
      </c>
      <c r="B16" s="7">
        <f>'VĐTT - Nhập KQ'!E8</f>
        <v/>
      </c>
      <c r="C16" s="28">
        <f>'VĐTT - Nhập KQ'!J8</f>
        <v/>
      </c>
      <c r="D16" s="9" t="n"/>
      <c r="E16" s="12">
        <f>IF(D16="",1,19-D16)</f>
        <v/>
      </c>
      <c r="F16" s="12">
        <f>IF(D16="",18*5+20,D16*5)</f>
        <v/>
      </c>
      <c r="G16" s="13" t="n"/>
    </row>
    <row r="17" ht="15" customHeight="1" s="31">
      <c r="A17" s="2" t="n">
        <v>11</v>
      </c>
      <c r="B17" s="7">
        <f>'VĐTT - Nhập KQ'!E8</f>
        <v/>
      </c>
      <c r="C17" s="28">
        <f>'VĐTT - Nhập KQ'!K8</f>
        <v/>
      </c>
      <c r="D17" s="9" t="n"/>
      <c r="E17" s="12">
        <f>IF(D17="",1,19-D17)</f>
        <v/>
      </c>
      <c r="F17" s="12">
        <f>IF(D17="",18*5+20,D17*5)</f>
        <v/>
      </c>
      <c r="G17" s="13" t="n"/>
    </row>
    <row r="18" ht="15" customHeight="1" s="31">
      <c r="A18" s="2" t="n">
        <v>12</v>
      </c>
      <c r="B18" s="7">
        <f>'VĐTT - Nhập KQ'!E8</f>
        <v/>
      </c>
      <c r="C18" s="28">
        <f>'VĐTT - Nhập KQ'!L8</f>
        <v/>
      </c>
      <c r="D18" s="9" t="n"/>
      <c r="E18" s="12">
        <f>IF(D18="",1,19-D18)</f>
        <v/>
      </c>
      <c r="F18" s="12">
        <f>IF(D18="",18*5+20,D18*5)</f>
        <v/>
      </c>
      <c r="G18" s="13" t="n"/>
    </row>
    <row r="19" ht="15" customHeight="1" s="31">
      <c r="A19" s="2" t="n">
        <v>13</v>
      </c>
      <c r="B19" s="7">
        <f>'VĐTT - Nhập KQ'!E9</f>
        <v/>
      </c>
      <c r="C19" s="28">
        <f>'VĐTT - Nhập KQ'!J9</f>
        <v/>
      </c>
      <c r="D19" s="9" t="n"/>
      <c r="E19" s="12">
        <f>IF(D19="",1,19-D19)</f>
        <v/>
      </c>
      <c r="F19" s="12">
        <f>IF(D19="",18*5+20,D19*5)</f>
        <v/>
      </c>
      <c r="G19" s="13" t="n"/>
    </row>
    <row r="20" ht="15" customHeight="1" s="31">
      <c r="A20" s="2" t="n">
        <v>14</v>
      </c>
      <c r="B20" s="7">
        <f>'VĐTT - Nhập KQ'!E9</f>
        <v/>
      </c>
      <c r="C20" s="28">
        <f>'VĐTT - Nhập KQ'!K9</f>
        <v/>
      </c>
      <c r="D20" s="9" t="n"/>
      <c r="E20" s="12">
        <f>IF(D20="",1,19-D20)</f>
        <v/>
      </c>
      <c r="F20" s="12">
        <f>IF(D20="",18*5+20,D20*5)</f>
        <v/>
      </c>
      <c r="G20" s="13" t="n"/>
    </row>
    <row r="21" ht="15" customHeight="1" s="31">
      <c r="A21" s="2" t="n">
        <v>15</v>
      </c>
      <c r="B21" s="7">
        <f>'VĐTT - Nhập KQ'!E9</f>
        <v/>
      </c>
      <c r="C21" s="28">
        <f>'VĐTT - Nhập KQ'!L9</f>
        <v/>
      </c>
      <c r="D21" s="9" t="n"/>
      <c r="E21" s="12">
        <f>IF(D21="",1,19-D21)</f>
        <v/>
      </c>
      <c r="F21" s="12">
        <f>IF(D21="",18*5+20,D21*5)</f>
        <v/>
      </c>
      <c r="G21" s="13" t="n"/>
    </row>
    <row r="22" ht="15" customHeight="1" s="31">
      <c r="A22" s="2" t="n">
        <v>16</v>
      </c>
      <c r="B22" s="7">
        <f>'VĐTT - Nhập KQ'!E10</f>
        <v/>
      </c>
      <c r="C22" s="28">
        <f>'VĐTT - Nhập KQ'!J10</f>
        <v/>
      </c>
      <c r="D22" s="9" t="n"/>
      <c r="E22" s="12">
        <f>IF(D22="",1,19-D22)</f>
        <v/>
      </c>
      <c r="F22" s="12">
        <f>IF(D22="",18*5+20,D22*5)</f>
        <v/>
      </c>
      <c r="G22" s="13" t="n"/>
    </row>
    <row r="23" ht="15" customHeight="1" s="31">
      <c r="A23" s="2" t="n">
        <v>17</v>
      </c>
      <c r="B23" s="7">
        <f>'VĐTT - Nhập KQ'!E10</f>
        <v/>
      </c>
      <c r="C23" s="28">
        <f>'VĐTT - Nhập KQ'!K10</f>
        <v/>
      </c>
      <c r="D23" s="9" t="n"/>
      <c r="E23" s="12">
        <f>IF(D23="",1,19-D23)</f>
        <v/>
      </c>
      <c r="F23" s="12">
        <f>IF(D23="",18*5+20,D23*5)</f>
        <v/>
      </c>
      <c r="G23" s="13" t="n"/>
    </row>
    <row r="24" ht="15" customHeight="1" s="31">
      <c r="A24" s="2" t="n">
        <v>18</v>
      </c>
      <c r="B24" s="7">
        <f>'VĐTT - Nhập KQ'!E10</f>
        <v/>
      </c>
      <c r="C24" s="28">
        <f>'VĐTT - Nhập KQ'!L10</f>
        <v/>
      </c>
      <c r="D24" s="9" t="n"/>
      <c r="E24" s="12">
        <f>IF(D24="",1,19-D24)</f>
        <v/>
      </c>
      <c r="F24" s="12">
        <f>IF(D24="",18*5+20,D24*5)</f>
        <v/>
      </c>
      <c r="G24" s="13" t="n"/>
    </row>
  </sheetData>
  <mergeCells count="4">
    <mergeCell ref="A2:F2"/>
    <mergeCell ref="A3:G3"/>
    <mergeCell ref="A1:F1"/>
    <mergeCell ref="A4:G4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24" customWidth="1" style="31" min="1" max="1"/>
    <col width="42" customWidth="1" style="31" min="2" max="2"/>
    <col width="16" customWidth="1" style="31" min="3" max="3"/>
    <col width="14" customWidth="1" style="31" min="4" max="4"/>
  </cols>
  <sheetData>
    <row r="1" ht="19.5" customHeight="1" s="31">
      <c r="A1" s="30" t="inlineStr">
        <is>
          <t>HẠNG MỤC GIẢI THƯỞNG</t>
        </is>
      </c>
    </row>
    <row r="2" ht="15" customHeight="1" s="31">
      <c r="A2" s="33" t="inlineStr">
        <is>
          <t>Tất cả cột "Đội đạt giải" đều tự động — chấm điểm chi tiết tại sheet 'Giải phụ - Chấm điểm' và 'Cầu thủ ghi bàn'.</t>
        </is>
      </c>
    </row>
    <row r="4" ht="27.75" customHeight="1" s="31">
      <c r="A4" s="1" t="inlineStr">
        <is>
          <t>Giải thưởng</t>
        </is>
      </c>
      <c r="B4" s="1" t="inlineStr">
        <is>
          <t>Tiêu chí chính</t>
        </is>
      </c>
      <c r="C4" s="1" t="inlineStr">
        <is>
          <t>Đội đạt giải</t>
        </is>
      </c>
      <c r="D4" s="1" t="inlineStr">
        <is>
          <t>Giá trị giải</t>
        </is>
      </c>
    </row>
    <row r="5" ht="15" customHeight="1" s="31">
      <c r="A5" s="21" t="inlineStr">
        <is>
          <t>Nhất Edulympic</t>
        </is>
      </c>
      <c r="B5" s="13" t="inlineStr">
        <is>
          <t>Tổng điểm 3 môn cao nhất</t>
        </is>
      </c>
      <c r="C5" s="11">
        <f>INDEX('Tổng điểm toàn đoàn'!$B$5:$B$16,MATCH(1,'Tổng điểm toàn đoàn'!$A$5:$A$16,0))</f>
        <v/>
      </c>
      <c r="D5" s="22" t="n">
        <v>10000000</v>
      </c>
    </row>
    <row r="6" ht="15" customHeight="1" s="31">
      <c r="A6" s="23" t="inlineStr">
        <is>
          <t>Nhì</t>
        </is>
      </c>
      <c r="B6" s="13" t="inlineStr">
        <is>
          <t>Tổng điểm 3 môn cao thứ nhì</t>
        </is>
      </c>
      <c r="C6" s="11">
        <f>INDEX('Tổng điểm toàn đoàn'!$B$5:$B$16,MATCH(2,'Tổng điểm toàn đoàn'!$A$5:$A$16,0))</f>
        <v/>
      </c>
      <c r="D6" s="22" t="n">
        <v>5000000</v>
      </c>
    </row>
    <row r="7" ht="15" customHeight="1" s="31">
      <c r="A7" s="24" t="inlineStr">
        <is>
          <t>Ba</t>
        </is>
      </c>
      <c r="B7" s="13" t="inlineStr">
        <is>
          <t>Tổng điểm 3 môn cao thứ ba</t>
        </is>
      </c>
      <c r="C7" s="11">
        <f>INDEX('Tổng điểm toàn đoàn'!$B$5:$B$16,MATCH(3,'Tổng điểm toàn đoàn'!$A$5:$A$16,0))</f>
        <v/>
      </c>
      <c r="D7" s="22" t="n">
        <v>3000000</v>
      </c>
    </row>
    <row r="8" ht="15" customHeight="1" s="31">
      <c r="A8" s="17" t="inlineStr">
        <is>
          <t>Giải nhất Vũ đài trí tuệ</t>
        </is>
      </c>
      <c r="B8" s="13" t="inlineStr">
        <is>
          <t>Vô địch vòng "The Last of us" (đội của người vô địch)</t>
        </is>
      </c>
      <c r="C8" s="11">
        <f>INDEX('VĐTT - Last of us'!$B$7:$B$24,MATCH(1,'VĐTT - Last of us'!$E$7:$E$24,0))</f>
        <v/>
      </c>
      <c r="D8" s="22" t="n">
        <v>1000000</v>
      </c>
    </row>
    <row r="9" ht="30" customHeight="1" s="31">
      <c r="A9" s="17" t="inlineStr">
        <is>
          <t>Đội Cổ Vũ Xuất Sắc</t>
        </is>
      </c>
      <c r="B9" s="5" t="inlineStr">
        <is>
          <t>Mức độ tham gia, sáng tạo, sôi động, văn minh</t>
        </is>
      </c>
      <c r="C9" s="11">
        <f>'Giải phụ - Chấm điểm'!B5</f>
        <v/>
      </c>
      <c r="D9" s="22" t="n">
        <v>500000</v>
      </c>
    </row>
    <row r="10" ht="30" customHeight="1" s="31">
      <c r="A10" s="17" t="inlineStr">
        <is>
          <t>Đồng Đội Vàng</t>
        </is>
      </c>
      <c r="B10" s="5" t="inlineStr">
        <is>
          <t>Phối hợp, hỗ trợ đồng đội, kỷ luật chiến thuật</t>
        </is>
      </c>
      <c r="C10" s="11">
        <f>'Giải phụ - Chấm điểm'!B6</f>
        <v/>
      </c>
      <c r="D10" s="22" t="n">
        <v>500000</v>
      </c>
    </row>
    <row r="11" ht="30" customHeight="1" s="31">
      <c r="A11" s="17" t="inlineStr">
        <is>
          <t>Fair Play</t>
        </is>
      </c>
      <c r="B11" s="5" t="inlineStr">
        <is>
          <t>Chấp hành luật, tôn trọng trọng tài/đối thủ, ứng xử văn minh</t>
        </is>
      </c>
      <c r="C11" s="11">
        <f>'Giải phụ - Chấm điểm'!B7</f>
        <v/>
      </c>
      <c r="D11" s="22" t="n">
        <v>500000</v>
      </c>
    </row>
    <row r="12" ht="30" customHeight="1" s="31">
      <c r="A12" s="17" t="inlineStr">
        <is>
          <t>Thủ Lĩnh Truyền Lửa</t>
        </is>
      </c>
      <c r="B12" s="5" t="inlineStr">
        <is>
          <t>Khả năng dẫn dắt, khích lệ, xử lý tình huống</t>
        </is>
      </c>
      <c r="C12" s="11">
        <f>'Giải phụ - Chấm điểm'!B8</f>
        <v/>
      </c>
      <c r="D12" s="22" t="n">
        <v>500000</v>
      </c>
    </row>
    <row r="13" ht="30" customHeight="1" s="31">
      <c r="A13" s="17" t="inlineStr">
        <is>
          <t>Khoảnh Khắc Edutalk</t>
        </is>
      </c>
      <c r="B13" s="5" t="inlineStr">
        <is>
          <t>Ý nghĩa/cảm xúc, tính lan tỏa, hình ảnh/video đẹp</t>
        </is>
      </c>
      <c r="C13" s="11">
        <f>'Giải phụ - Chấm điểm'!B9</f>
        <v/>
      </c>
      <c r="D13" s="22" t="n">
        <v>500000</v>
      </c>
    </row>
    <row r="14" ht="30" customHeight="1" s="31">
      <c r="A14" s="17" t="inlineStr">
        <is>
          <t>Bản Lĩnh Kiên Cường</t>
        </is>
      </c>
      <c r="B14" s="5" t="inlineStr">
        <is>
          <t>Không bỏ cuộc, quyết tâm, vượt khó nỗ lực</t>
        </is>
      </c>
      <c r="C14" s="11">
        <f>'Giải phụ - Chấm điểm'!B10</f>
        <v/>
      </c>
      <c r="D14" s="22" t="n">
        <v>500000</v>
      </c>
    </row>
    <row r="15" ht="30" customHeight="1" s="31">
      <c r="A15" s="17" t="inlineStr">
        <is>
          <t>Chiến Thuật Xuất Sắc</t>
        </is>
      </c>
      <c r="B15" s="5" t="inlineStr">
        <is>
          <t>Chiến thuật hợp lý, khả năng thích ứng, hiệu quả</t>
        </is>
      </c>
      <c r="C15" s="11">
        <f>'Giải phụ - Chấm điểm'!B11</f>
        <v/>
      </c>
      <c r="D15" s="22" t="n">
        <v>500000</v>
      </c>
    </row>
    <row r="16" ht="30" customHeight="1" s="31">
      <c r="A16" s="17" t="inlineStr">
        <is>
          <t>Đội hình đoàn kết</t>
        </is>
      </c>
      <c r="B16" s="5" t="inlineStr">
        <is>
          <t>Đoàn kết, hỗ trợ nhau, tinh thần tập thể</t>
        </is>
      </c>
      <c r="C16" s="11">
        <f>'Giải phụ - Chấm điểm'!B12</f>
        <v/>
      </c>
      <c r="D16" s="22" t="n">
        <v>500000</v>
      </c>
    </row>
    <row r="17" ht="30" customHeight="1" s="31">
      <c r="A17" s="17" t="inlineStr">
        <is>
          <t>Lội Ngược Dòng Ấn Tượng</t>
        </is>
      </c>
      <c r="B17" s="5" t="inlineStr">
        <is>
          <t>Mức độ bứt phá, ý chí thi đấu, kết quả lội ngược dòng</t>
        </is>
      </c>
      <c r="C17" s="11">
        <f>'Giải phụ - Chấm điểm'!B13</f>
        <v/>
      </c>
      <c r="D17" s="22" t="n">
        <v>500000</v>
      </c>
    </row>
    <row r="18" ht="30" customHeight="1" s="31">
      <c r="A18" s="17" t="inlineStr">
        <is>
          <t>Đội Truyền Cảm Hứng</t>
        </is>
      </c>
      <c r="B18" s="5" t="inlineStr">
        <is>
          <t>Lan tỏa tinh thần tích cực, hình ảnh đẹp, được ghi nhận</t>
        </is>
      </c>
      <c r="C18" s="11">
        <f>'Giải phụ - Chấm điểm'!B14</f>
        <v/>
      </c>
      <c r="D18" s="22" t="n">
        <v>500000</v>
      </c>
    </row>
    <row r="19" ht="30" customHeight="1" s="31">
      <c r="A19" s="17" t="inlineStr">
        <is>
          <t>Lá Chắn Nữ Hoàng</t>
        </is>
      </c>
      <c r="B19" s="5" t="inlineStr">
        <is>
          <t>Thời gian bảo vệ, phối hợp che chắn, hóa giải nguy hiểm, Fair Play</t>
        </is>
      </c>
      <c r="C19" s="11">
        <f>'Giải phụ - Chấm điểm'!B15</f>
        <v/>
      </c>
      <c r="D19" s="22" t="n">
        <v>500000</v>
      </c>
    </row>
    <row r="20" ht="30" customHeight="1" s="31">
      <c r="A20" s="17" t="inlineStr">
        <is>
          <t>Cầu thủ xuất sắc nhất</t>
        </is>
      </c>
      <c r="B20" s="5" t="inlineStr">
        <is>
          <t>Số bàn thắng cao nhất (Bóng né) — giải cá nhân</t>
        </is>
      </c>
      <c r="C20" s="11">
        <f>'Cầu thủ ghi bàn'!B47&amp;" ("&amp;'Cầu thủ ghi bàn'!C47&amp;")"</f>
        <v/>
      </c>
      <c r="D20" s="22" t="n">
        <v>500000</v>
      </c>
    </row>
    <row r="22" ht="15" customHeight="1" s="31">
      <c r="A22" s="25" t="inlineStr">
        <is>
          <t>TỔNG GIÁ TRỊ GIẢI THƯỞNG</t>
        </is>
      </c>
      <c r="D22" s="26">
        <f>SUM(D5:D20)</f>
        <v/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2026-07-16T14:43:14Z</dcterms:created>
  <dcterms:modified xmlns:dcterms="http://purl.org/dc/terms/" xmlns:xsi="http://www.w3.org/2001/XMLSchema-instance" xsi:type="dcterms:W3CDTF">2026-07-16T23:15:54Z</dcterms:modified>
  <cp:lastModifiedBy>Huy Vu</cp:lastModifiedBy>
  <cp:revision>2</cp:revision>
</cp:coreProperties>
</file>